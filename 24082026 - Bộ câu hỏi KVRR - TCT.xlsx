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nhanvu/Library/CloudStorage/GoogleDrive-nhanvu1480@gmail.com/My Drive/BrainVault/_attachments/QTRR/ERM/Giai đoạn 1 _ Khung chung TCT/"/>
    </mc:Choice>
  </mc:AlternateContent>
  <xr:revisionPtr revIDLastSave="0" documentId="13_ncr:1_{8CFBDEF2-7213-094E-91E8-679FA481143E}" xr6:coauthVersionLast="47" xr6:coauthVersionMax="47" xr10:uidLastSave="{00000000-0000-0000-0000-000000000000}"/>
  <bookViews>
    <workbookView xWindow="0" yWindow="660" windowWidth="29400" windowHeight="17340" activeTab="3" xr2:uid="{00000000-000D-0000-FFFF-FFFF00000000}"/>
  </bookViews>
  <sheets>
    <sheet name="TÓM TẮT CHIẾN LƯỢC" sheetId="1" r:id="rId1"/>
    <sheet name="0. Đối tượng phỏng vấn" sheetId="2" r:id="rId2"/>
    <sheet name="A - Phỏng vấn P.Chiến lược" sheetId="3" r:id="rId3"/>
    <sheet name="B - Ban TGĐ" sheetId="4" r:id="rId4"/>
    <sheet name="C - KVRR gắn với domain" sheetId="5" r:id="rId5"/>
    <sheet name="TỔNG HỢP KẾT QUẢ"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3" authorId="0" shapeId="0" xr:uid="{630FA2A0-2AC7-4A35-A1DA-9D4F1829238C}">
      <text>
        <r>
          <rPr>
            <b/>
            <sz val="9"/>
            <color indexed="81"/>
            <rFont val="Tahoma"/>
            <family val="2"/>
          </rPr>
          <t>Hương:</t>
        </r>
        <r>
          <rPr>
            <sz val="9"/>
            <color indexed="81"/>
            <rFont val="Tahoma"/>
            <family val="2"/>
          </rPr>
          <t xml:space="preserve">
cân nhắc cho thành survey xong gửi qua mail để thu thập thông tin
làm thêm nếu có thgian còn ko thì triển khai các domain từ phỏng vấn với chiến lược và BTGĐ T.T</t>
        </r>
      </text>
    </comment>
  </commentList>
</comments>
</file>

<file path=xl/sharedStrings.xml><?xml version="1.0" encoding="utf-8"?>
<sst xmlns="http://schemas.openxmlformats.org/spreadsheetml/2006/main" count="319" uniqueCount="277">
  <si>
    <t>PHẦN C — KHAI THÁC SÂU MỨC CHẤP NHẬN THEO TỪNG DOMAIN</t>
  </si>
  <si>
    <t>Đi lần lượt qua từng domain nổi bật &amp; ngành fintech. Ghi mức chấp nhận (Không/Thấp/Trung bình/Cao) + lý do. Câu hỏi mang tính khai thác sâu.</t>
  </si>
  <si>
    <t>STT</t>
  </si>
  <si>
    <t>Domain rủi ro</t>
  </si>
  <si>
    <t>Câu hỏi khai thác sâu mức chấp nhận</t>
  </si>
  <si>
    <t>Phòng/ban trả lời câu hỏi</t>
  </si>
  <si>
    <t>Mức chấp nhận</t>
  </si>
  <si>
    <t>Lý do / ghi chú</t>
  </si>
  <si>
    <t>Giải thích</t>
  </si>
  <si>
    <t>Nhóm lõi — thanh toán, tiền &amp; tuân thủ</t>
  </si>
  <si>
    <t>Không chấp nhận</t>
  </si>
  <si>
    <t>Rủi ro tuyệt đối không được để xảy ra; không chấp nhận đánh đổi để tăng trưởng</t>
  </si>
  <si>
    <t>Thanh toán &amp; đối soát (dòng tiền)</t>
  </si>
  <si>
    <t>[Bối cảnh: thu hộ/chi hộ là mảng lõi, mục tiêu DT 2.770 tỷ và thị phần 43% vào 2030.] Sai lệch đối soát/chênh dòng tiền ở mức nào là chấp nhận được, mức nào không thể chấp nhận? Có ngưỡng thời gian xử lý tối đa không?</t>
  </si>
  <si>
    <t>P.Đối soát (TT VHKT); phối hợp: TT Thanh toán số</t>
  </si>
  <si>
    <t xml:space="preserve">Thấp </t>
  </si>
  <si>
    <t>Chỉ chấp nhận rủi ro ở mức tối thiểu. Ưu tiên an toàn hơn tăng trưởng</t>
  </si>
  <si>
    <t>An toàn tiền &amp; tài sản khách hàng</t>
  </si>
  <si>
    <t>TT Thanh toán số; phối hợp: P.Tài chính kế toán</t>
  </si>
  <si>
    <t>Trung bình</t>
  </si>
  <si>
    <t>Chấp nhận rủi ro có kiểm soát để đổi lấy tăng trưởng hoặc trải nghiệm khách hàng. Cân bằng giữa cơ hội và an toàn.</t>
  </si>
  <si>
    <t>Gian lận giao dịch &amp; chiếm đoạt tài khoản (fraud/ATO)</t>
  </si>
  <si>
    <t>Tỷ lệ giao dịch gian lận/chiếm đoạt tài khoản ở mức nào là chấp nhận được trong tương quan với trải nghiệm KH? Ưu tiên siết chặt hay thông thoáng?</t>
  </si>
  <si>
    <t>Cao</t>
  </si>
  <si>
    <t>Sẵn sàng chấp nhận rủi ro đáng kể vì đây là ưu tiên chiến lược. Chấp nhận có thể tổn thất trong giới hạn để đạt mục tiêu lớn.</t>
  </si>
  <si>
    <t>Rửa tiền, tài trợ khủng bố (AML/CFT) &amp; KYC</t>
  </si>
  <si>
    <t>P.Pháp chế &amp; KSNB; phối hợp: P.QTRR (TT VHKT)</t>
  </si>
  <si>
    <t>Tuân thủ pháp lý &amp; giấy phép (NHNN)</t>
  </si>
  <si>
    <t>P.Pháp chế &amp; KSNB</t>
  </si>
  <si>
    <t>Nhóm công nghệ &amp; vận hành</t>
  </si>
  <si>
    <t>An ninh mạng &amp; bảo mật dữ liệu cá nhân</t>
  </si>
  <si>
    <t>P.CNTT; phối hợp: TT Công nghệ</t>
  </si>
  <si>
    <t>Gián đoạn hệ thống/nền tảng (availability)</t>
  </si>
  <si>
    <t>Thời gian gián đoạn dịch vụ tối đa chấp nhận/năm cho hệ thống trọng yếu? Kỳ vọng SLA/uptime?</t>
  </si>
  <si>
    <t>TT VHKT (P.Khai thác dịch vụ); phối hợp: TT Công nghệ</t>
  </si>
  <si>
    <t>Bên thứ ba, đối tác &amp; mạng lưới đại lý</t>
  </si>
  <si>
    <t>TT Thanh toán số (đại lý); phối hợp: TT Tài chính số (đối tác TC)</t>
  </si>
  <si>
    <t>Nhóm mảng kinh doanh mới &amp; tài chính</t>
  </si>
  <si>
    <t>Tín dụng (cho vay / BNPL)</t>
  </si>
  <si>
    <t>[Bối cảnh: tín dụng số là động lực tăng trưởng chính — DT 281→1.086 tỷ (2030), CAGR 31%, thị phần 7%→14%. Kịch bản thách thức đẩy thị phần 18%, CAGR 37%.] Để đạt mức tăng trưởng này, tỷ lệ nợ xấu (NPL) tối đa chấp nhận được là bao nhiêu? Ràng buộc bảo toàn vốn nhà nước đặt trần NPL ở mức nào? Khẩu vị NPL có khác nhau giữa kịch bản nỗ lực và thách thức không?</t>
  </si>
  <si>
    <t>TT Tài chính số (P.Tín dụng)</t>
  </si>
  <si>
    <t>Bảo hiểm &amp; bán chéo / mis-selling</t>
  </si>
  <si>
    <t>[Bối cảnh: bảo hiểm số theo chiến lược bancassurance (bổ trợ tín dụng), kênh số hiện chỉ thâm nhập 1%; bán cho tệp phổ thông/yếu thế.] Mức chấp nhận rủi ro bán sai sản phẩm (mis-selling)/tỷ lệ khiếu nại là bao nhiêu? Khi bán chéo bảo hiểm kèm khoản vay, có ranh giới nào tuyệt đối không được vượt để bảo vệ người tiêu dùng không?</t>
  </si>
  <si>
    <t>TT Tài chính số (P.Bảo hiểm &amp; Đầu tư số); phối hợp: TT Marketing &amp; KH</t>
  </si>
  <si>
    <t>Thanh khoản &amp; tài chính doanh nghiệp</t>
  </si>
  <si>
    <t>[Bối cảnh: khi lập ngân hàng số/công ty tài chính (mảng DT lớn nhất 2030 — 3.564 tỷ), an toàn vốn (CAR) và thanh khoản (LCR) trở thành chỉ tiêu giám sát bắt buộc của NHNN.] Mức đệm vốn/thanh khoản tối thiểu cần duy trì trên mức quy định là bao nhiêu? Khẩu vị với biến động dòng tiền khi quy mô cho vay tăng mạnh?</t>
  </si>
  <si>
    <t>P.Tài chính kế toán</t>
  </si>
  <si>
    <t>Chiến lược (go-global, holding, đầu tư mới)</t>
  </si>
  <si>
    <t>[Bối cảnh: chuyển sang holding với 4 công ty con; go-global xin ≥3 giấy phép tài chính nước ngoài, mục tiêu DT quốc tế 1.005 tỷ (2030).] Mức lỗ/rủi ro chiến lược chấp nhận trong giai đoạn đầu của mỗi công ty con/thị trường mới là bao nhiêu? Có ngưỡng dừng (stop-loss) cho một khoản đầu tư/thị trường không đạt kỳ vọng không?</t>
  </si>
  <si>
    <t>Nhóm mới nổi &amp; xuyên suốt</t>
  </si>
  <si>
    <t>Mô hình &amp; thuật toán (AI scoring, chống gian lận)</t>
  </si>
  <si>
    <t>Danh tiếng &amp; niềm tin thị trường</t>
  </si>
  <si>
    <t>TT Marketing &amp; KH</t>
  </si>
  <si>
    <t>Con người / nhân sự &amp; năng lực</t>
  </si>
  <si>
    <t>P.Nhân sự</t>
  </si>
  <si>
    <t>Nhóm đặc thù mô hình kinh doanh mới (bổ sung theo chiến lược 2026–2030)</t>
  </si>
  <si>
    <t>Chấm điểm tín dụng bằng dữ liệu thay thế (viễn thông, hành vi thanh toán)</t>
  </si>
  <si>
    <t>TT Dữ liệu; phối hợp: TT Tài chính số (P.Tín dụng)</t>
  </si>
  <si>
    <t>Tệp khách hàng dưới chuẩn / yếu thế tài chính (financial inclusion)</t>
  </si>
  <si>
    <t>TT Tài chính số; phối hợp: TT Marketing &amp; KH</t>
  </si>
  <si>
    <t>Tập trung phụ thuộc hệ sinh thái Viettel (concentration risk)</t>
  </si>
  <si>
    <t>Tăng trưởng người dùng/doanh thu hiện phụ thuộc lớn vào hệ sinh thái Viettel (viễn thông, giao thông, xổ số...) — mức chấp nhận rủi ro tập trung vào một kênh phân phối/hệ sinh thái duy nhất? Có khẩu vị/kế hoạch đa dạng hoá kênh khách hàng ngoài hệ sinh thái không?</t>
  </si>
  <si>
    <t>P.Chiến lược</t>
  </si>
  <si>
    <t>Giao dịch nội bộ tập đoàn &amp; xung đột lợi ích (mô hình holding)</t>
  </si>
  <si>
    <t>P.Tài chính kế toán + P.Pháp chế &amp; KSNB</t>
  </si>
  <si>
    <t>Chuỗi cung ứng số (SCF) &amp; rủi ro đối tác dữ liệu</t>
  </si>
  <si>
    <t>TT Tài chính số (P.Tài chính DN/SCF); phối hợp: TT Dữ liệu</t>
  </si>
  <si>
    <t>Dữ liệu xuyên biên giới &amp; đa pháp lý (go-global)</t>
  </si>
  <si>
    <t>[Bối cảnh: go-global qua công ty con tại các thị trường Viettel đang kinh doanh, mô hình chia sẻ doanh thu; xin ≥3 giấy phép tài chính nước ngoài.] Mức chấp nhận rủi ro khi quy định bảo vệ dữ liệu/tài chính nước sở tại khác biệt hoặc xung đột với quy định Việt Nam? Vận hành theo một tiêu chuẩn cao nhất chung toàn tập đoàn, hay tuân thủ riêng theo từng thị trường?</t>
  </si>
  <si>
    <t>TT Giải pháp CNTC toàn cầu; phối hợp: P.Pháp chế &amp; KSNB</t>
  </si>
  <si>
    <t>Nhóm câu hỏi khai thác sâu — các quyết định khẩu vị rủi ro trọng yếu theo chiến lược 2026–2030</t>
  </si>
  <si>
    <t>Chiến lược đặt mục tiêu tăng trưởng rất cao (DT toàn TCT 4.648→11.100 tỷ, CAGR 33% ở kịch bản nỗ lực; 15.556 tỷ, CAGR 43% ở kịch bản thách thức) trong khi VDS là DN vốn nhà nước định vị thận trọng. Khi hai mục tiêu này mâu thuẫn ở một quyết định cụ thể (VD: nới điều kiện vay để tăng thị phần vs siết để giữ chất lượng nợ), nguyên tắc ưu tiên của Ban lãnh đạo là gì? Khẩu vị tổng thể có khác nhau giữa 2 kịch bản (nỗ lực vs thách thức) không?</t>
  </si>
  <si>
    <t>Trần rủi ro tín dụng danh mục theo lộ trình</t>
  </si>
  <si>
    <t>Ban TGĐ; phối hợp: TT Tài chính số</t>
  </si>
  <si>
    <t>Rủi ro giấy phép &amp; sandbox (điều kiện tiên quyết của chiến lược)</t>
  </si>
  <si>
    <t>Ban TGĐ; phối hợp: Ban Blockchain &amp; Tài sản số, P.Pháp chế &amp; KSNB</t>
  </si>
  <si>
    <t>Rủi ro phụ thuộc AI &amp; năng lực nội bộ</t>
  </si>
  <si>
    <t>Chiến lược 'AI-first' + Build–Borrow–Buy (thuê ngoài phần vận hành, kể cả outsource công cụ QTRR) tạo ra rủi ro phụ thuộc vào công nghệ/đối tác bên ngoài. Mức chấp nhận rủi ro khi năng lực lõi (mô hình AI, quyết định tín dụng) phụ thuộc vào đối tác/nền tảng thuê ngoài là đến đâu? Năng lực nào bắt buộc phải giữ trong nội bộ, không được thuê ngoài dù bất kỳ giá nào?</t>
  </si>
  <si>
    <t>Ban TGĐ; phối hợp: TT Dữ liệu, P.Nhân sự</t>
  </si>
  <si>
    <t>Rủi ro danh tiếng gắn thương hiệu Viettel &amp; sứ mệnh quốc gia</t>
  </si>
  <si>
    <t>Ban TGĐ; phối hợp: TT Marketing &amp; KH</t>
  </si>
  <si>
    <t>TÓM TẮT CHIẾN LƯỢC KINH DOANH VDS 2026–2030 (TẦM NHÌN 2035)</t>
  </si>
  <si>
    <t>Nguồn: Chiến lược SXKD 2026–2030 (7294/BC, TGĐ Lê Văn Đại ký 19/08/2025)</t>
  </si>
  <si>
    <t>1. ĐỊNH VỊ &amp; KHUNG CHIẾN LƯỢC</t>
  </si>
  <si>
    <t>Sứ mệnh</t>
  </si>
  <si>
    <t>"Tiên phong kiến tạo tài chính toàn diện" — đưa tín dụng/dịch vụ tài chính đến người dân yếu thế và doanh nghiệp SME.</t>
  </si>
  <si>
    <t>Tầm nhìn 2035</t>
  </si>
  <si>
    <t>Trở thành hệ sinh thái công nghệ tài chính toàn cầu, phục vụ 100 triệu khách hàng.</t>
  </si>
  <si>
    <t>Chuyển đổi mô hình</t>
  </si>
  <si>
    <t>Từ công ty đơn lẻ → mô hình Tổng công ty (holding) với 4 công ty con: (1) Ngân hàng số/công ty tài chính; (2) Bảo hiểm số; (3) Công nghệ tài chính chuỗi cung ứng; (4) Giải pháp công nghệ tài chính toàn cầu.</t>
  </si>
  <si>
    <t>Định vị rủi ro nền</t>
  </si>
  <si>
    <t>DN vốn nhà nước → thận trọng, bảo toàn vốn. NHƯNG chiến lược tăng trưởng cao buộc phải chấp nhận rủi ro tín dụng "có tính toán" → KVRR không thể "thấp toàn diện".</t>
  </si>
  <si>
    <t>Bài học 2021–2025</t>
  </si>
  <si>
    <t>Không đạt mục tiêu DT (hụt 6.805 tỷ) &amp; lợi nhuận do pháp lý siết (Mobile Money trần 10tr/tháng, Thông tư 17/18), cạnh tranh VietQR, sản phẩm thiếu khác biệt. DT vẫn phụ thuộc viễn thông (tin nhắn NH = 53%).</t>
  </si>
  <si>
    <t>2. CÁC CHỈ SỐ CHÍNH - 8 TRỤ CỘT KINH DOANH (Đơn vị doanh thu: tỷ đồng, theo kịch bản NỖ LỰC)</t>
  </si>
  <si>
    <t>Trụ cột kinh doanh</t>
  </si>
  <si>
    <t>DT 2025</t>
  </si>
  <si>
    <t>DT 2030</t>
  </si>
  <si>
    <t>CAGR (tốc độ tăng trưởng kép hàng năm)</t>
  </si>
  <si>
    <t>Ghi chú</t>
  </si>
  <si>
    <t>→ Link câu hỏi KVRR</t>
  </si>
  <si>
    <t>1. Thu hộ/chi hộ (LÕI)</t>
  </si>
  <si>
    <t>Mảng thiết yếu, thị phần 30%→43%. Mở rộng viễn thông, giao thông, xổ số, tài chính-bảo hiểm.</t>
  </si>
  <si>
    <t>C1 Đối soát · C2 An toàn tiền KH · C3 Fraud/ATO</t>
  </si>
  <si>
    <t>2. Tín dụng số</t>
  </si>
  <si>
    <t>ĐỘNG LỰC TĂNG TRƯỞNG CHÍNH. Số hóa toàn trình vay tiêu dùng; mục tiêu đứng đầu cho vay online trong TGTT 2030. Kịch bản thách thức: thị phần 18%, CAGR 37%.</t>
  </si>
  <si>
    <t>C9 Tín dụng · Deep-dive 23 Trần NPL danh mục</t>
  </si>
  <si>
    <t>3. Phân tích/tổng hợp dữ liệu</t>
  </si>
  <si>
    <t>Chấm điểm khả tín bằng dữ liệu thay thế (viễn thông+thanh toán); đã áp dụng từ 2024. Lợi thế cạnh tranh cốt lõi.</t>
  </si>
  <si>
    <t>C16 Chấm điểm dữ liệu thay thế · C13 Mô hình/AI</t>
  </si>
  <si>
    <t>4. Chuỗi cung ứng số (SCF)</t>
  </si>
  <si>
    <t>—</t>
  </si>
  <si>
    <t>Cho vay tín chấp SME dựa dữ liệu giao dịch; dùng AI/IoT/Blockchain. Thị trường mới ~10% tiềm năng.</t>
  </si>
  <si>
    <t>C20 SCF &amp; đối tác dữ liệu · C8 Bên thứ ba</t>
  </si>
  <si>
    <t>5. Ngân hàng số/công ty tài chính</t>
  </si>
  <si>
    <t>MẢNG DT LỚN NHẤT 2030. Xin giấy phép sandbox; cho vay AI; tài chính nhúng. CAR/LCR thành chỉ tiêu bắt buộc.</t>
  </si>
  <si>
    <t>C11 Thanh khoản/vốn · Deep-dive 24 Giấy phép</t>
  </si>
  <si>
    <t>6. Bảo hiểm số</t>
  </si>
  <si>
    <t>Insurtech + bancassurance (bổ trợ tín dụng). Kênh số hiện chỉ thâm nhập 1%. Rủi ro mis-selling cao.</t>
  </si>
  <si>
    <t>C10 Bảo hiểm/mis-selling · C17 Tệp yếu thế</t>
  </si>
  <si>
    <t>7. Kinh doanh quốc tế</t>
  </si>
  <si>
    <t>Triển khai tại thị trường Viettel; xin ≥3 giấy phép tài chính nước ngoài. Mô hình chia sẻ doanh thu.</t>
  </si>
  <si>
    <t>C21 Dữ liệu xuyên biên giới · C12 Chiến lược</t>
  </si>
  <si>
    <t>8. Tin nhắn ngân hàng (phòng thủ)</t>
  </si>
  <si>
    <t>~</t>
  </si>
  <si>
    <t>Hiện chiếm 53% DT — mảng ỔN ĐỊNH/PHÒNG THỦ, không nằm trong 7 trụ cột tăng trưởng.</t>
  </si>
  <si>
    <t>(nền tảng — không phải domain rủi ro mới)</t>
  </si>
  <si>
    <t>TỔNG TCT (toàn công ty)</t>
  </si>
  <si>
    <t>Kịch bản thách thức: DT 15.556 tỷ, CAGR 43%. Ngoài ra: 30 triệu KH hoạt động/tháng; hiện diện ≥3 thị trường nước ngoài vào 2030.</t>
  </si>
  <si>
    <t>3. CÁCH THỨC THỰC THI CHIẾN LƯỢC (4 NHÓM GIẢI PHÁP)</t>
  </si>
  <si>
    <t>Nhóm giải pháp</t>
  </si>
  <si>
    <t>Nội dung thực thi</t>
  </si>
  <si>
    <t>1. Năng lực pháp lý</t>
  </si>
  <si>
    <t>Chuyển sang holding, lập công ty con để đáp ứng quy định đặc thù. Xin sandbox (ngân hàng số, bảo hiểm số, tài sản mã hóa, P2P lending, trung tâm tài chính quốc tế). Tận dụng Luật 68, Nghị quyết 57-NQ/TW, Luật Dữ liệu, Luật Công nghiệp CN số.</t>
  </si>
  <si>
    <t>Deep-dive 24 Giấy phép/sandbox · C19 Giao dịch nội bộ tập đoàn</t>
  </si>
  <si>
    <t>2. Cạnh tranh bằng công nghệ</t>
  </si>
  <si>
    <t>AI-first: giải bài toán KD bằng AI trước tiên, làm giàu dữ liệu liên tục. Kiến trúc microservices/API-first/cloud-native, Blockchain/IoT, chuẩn open banking. Đóng gói nền tảng lõi để mở rộng thị trường mới.</t>
  </si>
  <si>
    <t>C13 Mô hình/AI · Deep-dive 26 Phụ thuộc AI &amp; năng lực nội bộ</t>
  </si>
  <si>
    <t>3. Nhu cầu vốn</t>
  </si>
  <si>
    <t>Tập đoàn bổ sung vốn năm 2029–2030 để đáp ứng nhu cầu xin cấp phép và mở rộng tài chính–bảo hiểm đạt quy mô chiến lược.</t>
  </si>
  <si>
    <t>C11 Vốn/thanh khoản · Deep-dive 22 Đánh đổi Tăng trưởng↔An toàn</t>
  </si>
  <si>
    <t>4. Chiến lược nhân sự</t>
  </si>
  <si>
    <t>Tăng quân số 759→1.400–1.641 người. Build–Borrow–Buy: build nhân sự key cho năng lực cốt lõi, thuê ngoài phần vận hành. 30% nhân sự CN có chứng chỉ quốc tế vào 2030.</t>
  </si>
  <si>
    <t>C15 Con người/năng lực · Deep-dive 26 Năng lực không được thuê ngoài</t>
  </si>
  <si>
    <t>4. HÀM Ý CHÍNH CHO KHẨU VỊ RỦI RO (KVRR)</t>
  </si>
  <si>
    <t>Hàm ý 1</t>
  </si>
  <si>
    <t>Không thể giữ "khẩu vị thấp toàn diện": tín dụng số (CAGR 31%) &amp; ngân hàng số (mảng DT lớn nhất) buộc chấp nhận rủi ro tín dụng có tính toán → cần Ban TGĐ chốt mức trần NPL (câu B3.1, Deep-dive 22-23).</t>
  </si>
  <si>
    <t>Hàm ý 2</t>
  </si>
  <si>
    <t>Rủi ro mô hình/AI thành trọng yếu: AI là năng lực cạnh tranh số 1, chấm điểm bằng dữ liệu thay thế → cần khẩu vị riêng cho rủi ro mô hình, bias, explainability (C13, C16).</t>
  </si>
  <si>
    <t>Hàm ý 3</t>
  </si>
  <si>
    <t>Rủi ro vốn/thanh khoản &amp; giấy phép nâng cấp thành trọng yếu: lập ngân hàng số/công ty tài chính → CAR/LCR là chỉ tiêu bắt buộc (C11, Deep-dive 24).</t>
  </si>
  <si>
    <t>Hàm ý 4</t>
  </si>
  <si>
    <t>Sứ mệnh tài chính toàn diện = tệp yếu thế: vừa là cơ hội tăng trưởng vừa là rủi ro mis-selling/vay chồng vay → cần khẩu vị riêng, thận trọng hơn (C10, C17, B6.1).</t>
  </si>
  <si>
    <t>Hàm ý 5</t>
  </si>
  <si>
    <t>Mô hình holding + go-global: nổi bật rủi ro tập trung hệ sinh thái, giao dịch nội bộ, lan truyền giữa công ty con, pháp lý xuyên biên giới (C18, C19, C21, Deep-dive 25).</t>
  </si>
  <si>
    <t>ĐỐI TƯỢNG PHỎNG VẤN — PHỤC VỤ XÂY DỰNG KHẨU VỊ RỦI RO (KVRR)</t>
  </si>
  <si>
    <t>KVRR khai thác QUAN ĐIỂM &amp; MỨC CHẤP NHẬN rủi ro từ cấp ra quyết định (top-down). Tách biệt với phỏng vấn Thước đo (xem file Thước đo).</t>
  </si>
  <si>
    <t>Đối tượng</t>
  </si>
  <si>
    <t>Nội dung khai thác</t>
  </si>
  <si>
    <t>Dùng phần câu hỏi</t>
  </si>
  <si>
    <t>Ban Tổng Giám đốc</t>
  </si>
  <si>
    <t>Triết lý rủi ro tổng thể; vùng không chấp nhận rủi ro; mức chấp nhận theo từng domain; kỳ vọng về hoạt động QTRR</t>
  </si>
  <si>
    <t>Phần B + C</t>
  </si>
  <si>
    <t>Phòng Chiến lược</t>
  </si>
  <si>
    <t>Xác nhận chiến lược, mục tiêu tăng trưởng, lộ trình các mục tiêu chính (giấy phép, go global, holding) =&gt; cơ sở để gắn KVRR vào chiến lược</t>
  </si>
  <si>
    <t>Phần A</t>
  </si>
  <si>
    <t>- Ban Tổng Giám đốc
- P. Chiến lược
- Các đơn vị kinh doanh có liên quan</t>
  </si>
  <si>
    <t>Mức chấp nhận rủi ro theo từng mảng KD mới (tín dụng, bảo hiểm, thanh toán, sản phẩm mới)</t>
  </si>
  <si>
    <t>Phần C (domain)</t>
  </si>
  <si>
    <t>P.Pháp chế &amp; Kiểm soát nội bộ</t>
  </si>
  <si>
    <t>Ranh giới tuân thủ, AML, giấy phép +&gt; các vùng khả năng cao KHÔNG CHẤP NHẬN RỦI RO</t>
  </si>
  <si>
    <t>Phần B2 + C</t>
  </si>
  <si>
    <t>PHẦN A — PHỎNG VẤN PHÒNG CHIẾN LƯỢC</t>
  </si>
  <si>
    <t>Mục tiêu: xác nhận &amp; làm rõ chiến lược, mô hình KD, mục tiêu tăng trưởng, lộ trình pháp lý — nền để gắn KVRR vào chiến lược.</t>
  </si>
  <si>
    <t>Câu hỏi</t>
  </si>
  <si>
    <t>Loại câu hỏi</t>
  </si>
  <si>
    <t>Câu trả lời / Ghi chú khi phỏng vấn</t>
  </si>
  <si>
    <t>Ghi chú của Huonglt10 - gợi mở câu trả lời</t>
  </si>
  <si>
    <t>A1. Xác nhận định hướng chiến lược tổng thể</t>
  </si>
  <si>
    <t>A1.1</t>
  </si>
  <si>
    <t>Nhóm dự án hiểu chiến lược 2026–2030 của VDS gồm 3 nhóm mục tiêu lớn nhất: 
(1) Phát triển 8 trụ cột KD chính — thu hộ/chi hộ (lõi), tín dụng số, phân tích dữ liệu, chuỗi cung ứng (SCF), ngân hàng số/công ty tài chính, bảo hiểm số, kinh doanh quốc tế; 
(2) Chuyển sang mô hình holding với 4 công ty con; 
(3) Mục tiêu DT toàn TCT 11.100–15.556 tỷ (CAGR 33–43%), 30 triệu KH hoạt động/tháng, hiện diện ở ít nhất 3 thị trường nước ngoài vào 2030. 
Nhận định này đã chính xác và đầy đủ chưa? Cần bổ sung/điều chỉnh gì?</t>
  </si>
  <si>
    <t>Xác nhận</t>
  </si>
  <si>
    <t>A1.2</t>
  </si>
  <si>
    <t>Trong các hướng chiến lược trên, đâu là ưu tiên số 1 trong 12–18 tháng tới (xét về cả mức độ sẵn sàng nguồn lực và rủi ro)?</t>
  </si>
  <si>
    <t>Khai thác thông tin</t>
  </si>
  <si>
    <t>A1.3</t>
  </si>
  <si>
    <t>Có mục tiêu chiến lược nào khác chưa được nêu (IPO, M&amp;A, mở rộng hệ sinh thái, thay đổi mô hình doanh thu)?</t>
  </si>
  <si>
    <t>A2. Mục tiêu tăng trưởng &amp; mô hình kinh doanh</t>
  </si>
  <si>
    <t>A2.1</t>
  </si>
  <si>
    <t>Các chỉ tiêu tăng trưởng trọng yếu (VD: người dùng, doanh thu, quy mô tín dụng, thị phần) cho ngắn hạn 1–3 năm tới là gì?</t>
  </si>
  <si>
    <t>VD: Doanh thu 1-3 năm tới, số lượng khách hàng mục tiêu, quy mô tín dụng, thị phần các mảng, 1 số chỉ số hiệu quả đầu tư đối với các khoản đầu tư nước ngoài (nếu có)</t>
  </si>
  <si>
    <t>A2.2</t>
  </si>
  <si>
    <t>Theo nhận định của nhóm, tín dụng số và ngân hàng số (Dự kiến là mảng DT lớn nhất 2030 - 3.564 tỷ) là động lực tăng trưởng; nhóm tin nhắn ngân hàng (hiện 53% DT) giữ vai trò ổn định/phòng thủ. Xác nhận cách phân nhóm này đúng chưa? Mảng nào Ban lãnh đạo kỳ vọng nhất và mảng nào rủi ro nhất?</t>
  </si>
  <si>
    <t>A2.3</t>
  </si>
  <si>
    <t>Mô hình doanh thu sẽ thay đổi thế nào khi chuyển sang ngân hàng số và mô hình holding?</t>
  </si>
  <si>
    <t>Ví dụ:
- Từ thu phí giao dịch (fee-based: thanh toán, thu hộ) → bổ sung thu nhập lãi/NIM từ cho vay (tín dụng số, ngân hàng số) và phí bảo hiểm (bancassurance)
- Từ doanh thu một lần theo giao dịch → thêm doanh thu định kỳ theo vòng đời khoản vay (lãi theo kỳ, vòng đời khách hàng dài hơn)
- Từ phụ thuộc chia sẻ doanh thu viễn thông (tin nhắn NH đang chiếm 53%) → nguồn thu độc lập
- Khi lên holding: xuất hiện doanh thu hợp nhất từ nhiều công ty con, doanh thu nội bộ tập đoàn và tài chính nhúng qua hệ sinh thái Viettel. Ngân hàng số mang lại NIM nhưng kéo theo nhu cầu vốn và ràng buộc CAR/LCR — dẫn thẳng sang câu hỏi khẩu vị vốn/thanh khoản</t>
  </si>
  <si>
    <t>A3. Lộ trình giấy phép &amp; pháp lý</t>
  </si>
  <si>
    <t>A3.1</t>
  </si>
  <si>
    <t>Hiện có giấy phép TGTT, đang xin giấy phép xử lý dữ liệu cá nhân, có hoạt động TMĐT. Còn giấy phép/nghiệp vụ nào đang xin hoặc dự kiến (tín dụng, ngân hàng số, bảo hiểm, chứng khoán…)? Lộ trình dự kiến?</t>
  </si>
  <si>
    <t>A3.2</t>
  </si>
  <si>
    <t>Việc chuyển sang mô hình holding sẽ thay đổi cấu trúc pháp lý và quản trị như thế nào?</t>
  </si>
  <si>
    <t>- Pháp lý: một pháp nhân → công ty mẹ (TCT) + nhiều công ty con độc lập pháp nhân, mỗi công ty con có giấy phép và cơ quan quản lý riêng — ngân hàng số/công ty tài chính theo Luật các TCTD (NHNN), bảo hiểm theo Luật KDBH, SCF, và công ty giải pháp toàn cầu
- Quản trị: tầng quản trị tập đoàn — HĐTV/HĐQT công ty mẹ định hướng và giám sát qua người đại diện phần vốn, mỗi công ty con có ban điều hành riêng; cần cơ chế báo cáo hợp nhất và kiểm soát nội bộ xuyên suốt 
=&gt; Phát sinh thêm rủi ro về pháp lý và quản trị</t>
  </si>
  <si>
    <t>A4. Go-global &amp; holding (nguồn rủi ro mới)</t>
  </si>
  <si>
    <t>A4.1</t>
  </si>
  <si>
    <t>Go-global cụ thể: thị trường nào, sản phẩm nào, qua công ty con nào? Rủi ro pháp lý xuyên biên giới, ngoại hối, khác biệt quản lý được nhìn nhận thế nào? (có thể tóm gọn đơn giản là rủi ro cao/trung bình/thấp)</t>
  </si>
  <si>
    <t>A4.2</t>
  </si>
  <si>
    <t>Với mô hình holding: quản trị rủi ro giữa công ty mẹ và công ty con nên tập trung hay phân quyền?</t>
  </si>
  <si>
    <t>A5. Bối cảnh cạnh tranh &amp; môi trường</t>
  </si>
  <si>
    <t>A5.1</t>
  </si>
  <si>
    <t>Áp lực cạnh tranh chính đến từ đâu? Điều này có buộc VDS chấp nhận rủi ro cao hơn ở mảng nào không?</t>
  </si>
  <si>
    <t>VD: ngân hàng số hóa mạnh; đối thủ có tiềm lực cạnh tranh mạnh (như liên doanh Mobifone–Techcombank–One Mount CMBT); cạnh tranh trong tín dụng tiêu dùng
Hướng người trả lời tới logic: mảng lõi (thu hộ) bị bào mòn phí (do sức ép cạnh tranh từ ngân hàng, hoặc buộc phải giảm phí để cạnh tranh) nên không thể trông chờ tăng trưởng ở đó, buộc dịch chuyển sang các mảng lợi nhuận cao nhưng rủi ro cao hơn:
- Tín dụng số / ngân hàng số → chấp nhận rủi ro tín dụng cao hơn để giành thị phần trước đối thủ
- Cạnh tranh bằng công nghệ → chấp nhận rủi ro mô hình/AI (đánh đổi tốc độ ra quyết định vs độ chính xác) và rủi ro tốc độ ra mắt sản phẩm "lần đầu có ở Việt Nam"
- Giành tệp underbanked trước đối thủ → chấp nhận rủi ro chất lượng tệp khách hàng cao hơn</t>
  </si>
  <si>
    <t>A5.2</t>
  </si>
  <si>
    <t>Thay đổi chính sách/quản lý nào sắp tới có thể ảnh hưởng lớn (Mobile Money, ngân hàng số, bảo vệ dữ liệu…)?</t>
  </si>
  <si>
    <t>Câu này khả năng phải khai thác phía pháp chế</t>
  </si>
  <si>
    <t>A6. Gắn chiến lược với rủi ro</t>
  </si>
  <si>
    <t>A6.1</t>
  </si>
  <si>
    <t>Những rủi ro nào có thể cản trở lớn nhất việc đạt các mục tiêu chiến lược nêu trên?</t>
  </si>
  <si>
    <t>Nhận định của P.CL dựa trên exp khi làm việc với BTGĐ</t>
  </si>
  <si>
    <t>A6.2</t>
  </si>
  <si>
    <t>Có mục tiêu chiến lược nào lãnh đạo sẵn sàng đánh đổi, chấp nhận rủi ro cao hơn để đạt được không?</t>
  </si>
  <si>
    <t>Vùng khẩu vị cao có kiểm soát, ví dụ:
- Tăng trưởng tín dụng số &amp; ngân hàng số
- Sứ mệnh tài chính toàn diện (phục vụ nhóm KH yếu thế - có rủi ro tín dụng xấu)
- Tốc độ đón đầu pháp lý/sandbox khi chưa có hành lang pháp lý đầy đủ nhưng đầu tư dần nguồn lực để thực hiện
- Go-global &amp; lập công ty con mới: chấp nhận lỗ giai đoạn đầu ở thị trường/mảng mới.</t>
  </si>
  <si>
    <t>PHẦN B — PHỎNG VẤN BAN TGĐ</t>
  </si>
  <si>
    <t>Mục tiêu: xác định quan điểm &amp; mức độ chấp nhận rủi ro. Sau phần B, đi sâu mức chấp nhận theo từng domain ở sheet 'C - Khau vi &amp; domain'.</t>
  </si>
  <si>
    <t>Loại</t>
  </si>
  <si>
    <t>B1. Triết lý &amp; định vị rủi ro tổng thể</t>
  </si>
  <si>
    <t>B1.1</t>
  </si>
  <si>
    <t>Là DN vốn nhà nước, VDS định vị thận trọng, an toàn, bảo toàn vốn. BTGĐ xác nhận đây là kim chỉ nam? Mức độ thận trọng nên tuyệt đối đến đâu khi cân bằng với mục tiêu tăng trưởng/ngân hàng số/holding/global?</t>
  </si>
  <si>
    <t>B1.2</t>
  </si>
  <si>
    <t>Nếu phải chọn giữa 'tăng trưởng nhanh hơn nhưng rủi ro cao hơn' và 'chậm hơn nhưng an toàn hơn', cân bằng của VDS nghiêng về đâu?</t>
  </si>
  <si>
    <t>B2. Vùng KHÔNG CHẤP NHẬN (zero tolerance)</t>
  </si>
  <si>
    <t>B2.1</t>
  </si>
  <si>
    <t>Nhóm dự án đề xuất các vùng KHÔNG chấp nhận: vi phạm pháp luật; rửa tiền/tài trợ khủng bố; đe dọa an toàn tính mạng KH/nhân viên; mất an toàn tiền &amp; tài sản KH; vi phạm nghiêm trọng dữ liệu cá nhân. Anh/chị đồng ý danh sách này không? Thêm/bớt gì?</t>
  </si>
  <si>
    <t>B2.2</t>
  </si>
  <si>
    <t>Có loại rủi ro nào THEO QUAN ĐIỂM CỦA BTGĐ tuyệt đối không được xảy ra (sự cố hệ thống diện rộng, sự kiện tổn hại danh tiếng nghiêm trọng)?</t>
  </si>
  <si>
    <t>B3. Rủi ro chấp nhận có kiểm soát để đổi lấy tăng trưởng</t>
  </si>
  <si>
    <t>B3.1</t>
  </si>
  <si>
    <t>Chiến lược buộc chấp nhận rủi ro tín dụng có tính toán để tăng trưởng (tín dụng số CAGR 31%, ngân hàng số là mảng DT lớn nhất 2030). Điều này khác với định vị 'khẩu vị thấp' thuần tuý của DN vốn nhà nước. Anh/chị sẵn sàng chấp nhận rủi ro (nợ xấu, tổn thất sản phẩm mới) đến mức nào để mở rộng? Đâu là trần tuyệt đối mà việc bảo toàn vốn nhà nước không cho phép vượt qua?</t>
  </si>
  <si>
    <t>Có thể có 2 cách gợi ý:
- Định tính chung chung: "chấp nhận rủi ro ở mức tương đương mặt bằng chung của ngành cho vay tiêu dùng", hay "thấp hơn mặt bằng ngành vì là vốn nhà nước", hay "cao hơn một chút trong giai đoạn đầu để giành thị phần, rồi siết dần
- Định tính có nguyên tắc ranh giới: "tổn thất vẫn nằm trong khả năng tự bù đắp bằng lợi nhuận, không làm suy giảm vốn chủ"; "không đánh đổi đến mức phải xin cấp bù vốn ngoài kế hoạch"</t>
  </si>
  <si>
    <t>B3.2</t>
  </si>
  <si>
    <t>B5. Bài học kinh nghiệm</t>
  </si>
  <si>
    <t>B5.1</t>
  </si>
  <si>
    <t>Sự cố/tổn thất nào trong quá khứ khiến anh/chị ghi nhận và định hình quan điểm về rủi ro?</t>
  </si>
  <si>
    <t>B6.1</t>
  </si>
  <si>
    <t>Sứ mệnh 'tài chính toàn diện' hướng tới tệp yếu thế (chỉ 4% dân số có thẻ tín dụng; 42% nhóm underbanked từng vay tín dụng đen) bằng tín dụng/bảo hiểm số. Đây vừa là sứ mệnh vừa là nhóm rủi ro cao (mis-selling, vay chồng vay). Quan điểm của anh/chị về rủi ro bảo vệ người tiêu dùng tài chính với tệp này? Có nên đặt thành nhóm khẩu vị riêng, thận trọng hơn không?</t>
  </si>
  <si>
    <t>B7. Kỳ vọng về giám sát &amp; cập nhật khẩu vị</t>
  </si>
  <si>
    <t>B7.1</t>
  </si>
  <si>
    <t>BTGĐ muốn được báo cáo về mức độ tuân thủ khẩu vị rủi ro với tần suất nào, dưới hình thức nào?</t>
  </si>
  <si>
    <t>B7.2</t>
  </si>
  <si>
    <t>KVRR nên được rà soát, cập nhật định kỳ ra sao (hằng năm? khi có thay đổi lớn về chiến lược, giấy phép, sự kiện trọng yếu)?</t>
  </si>
  <si>
    <t>TỔNG HỢP KẾT QUẢ → ĐẦU VÀO DỰ THẢO TUYÊN BỐ KVRR</t>
  </si>
  <si>
    <t>Chắt lọc sau các buổi phỏng vấn để làm cơ sở dự thảo Tuyên bố KVRR (phân tầng: Không chấp nhận / Thấp / Trung bình / Cao).</t>
  </si>
  <si>
    <t>Mức chấp nhận (chốt)</t>
  </si>
  <si>
    <t>Giải trình lí do</t>
  </si>
  <si>
    <t>Người phát biểu</t>
  </si>
  <si>
    <t>[điền]</t>
  </si>
  <si>
    <t>Rủi ro liên quan an toàn nguồn tiền &amp; khả năng chi trả cho khách hàng có phải tuyệt đối không chấp nhận rủi ro không? Ranh giới ở đâu?</t>
  </si>
  <si>
    <t>P.QTRR (TT VHKT)</t>
  </si>
  <si>
    <t>Rủi ro ảnh hưởng giấy phép (nhắc nhở → phạt → đình chỉ → thu hồi) thì vùng nào tuyệt đối tránh? Khẩu vị với vi phạm hành chính nhỏ?</t>
  </si>
  <si>
    <t>Rửa tiền là vùng không chấp nhận rủi ro</t>
  </si>
  <si>
    <t>Đối với sự cố lộ/rò rỉ dữ liệu cá nhân, quy mô nào (số bản ghi/mức nhạy cảm) là ranh giới nghiêm trọng? Mức đầu tư/kỳ vọng an ninh mạng?</t>
  </si>
  <si>
    <t>Rủi ro từ đại lý/đối tác (gian lận, vi phạm) =&gt; mức kiểm soát kỳ vọng? Đánh đổi mở rộng nhanh vs kiểm soát chặt ra sao?</t>
  </si>
  <si>
    <t>B6. Bảo vệ người tiêu dùng &amp; bán chéo sản phẩm (mis-selling)</t>
  </si>
  <si>
    <t>P.Chiến lược; confirm: Ban TGĐ</t>
  </si>
  <si>
    <t>[Bối cảnh: chiến lược đặt 'AI-first' làm năng lực cạnh tranh số 1 — giải bài toán KD bằng AI trước khi tính giải pháp khác; đã áp dụng chấm điểm AI vào cho vay từ 2024.] Khi AI ra quyết định tín dụng/chống gian lận ở quy mô lớn - mức chấp nhận rủi ro sai mô hình, thiên lệch (bias), thiếu khả năng giải thích (explainability) là bao nhiêu? Có yêu cầu bắt buộc con người phê duyệt với nhóm quyết định nào không?</t>
  </si>
  <si>
    <t>TT Dữ liệu (P.Ứng dụng AI)
TTCN</t>
  </si>
  <si>
    <t>Loại sự kiện danh tiếng nào không được phép xảy ra (VD KH khiếu nại trên kênh báo chí truyền thông)? Mức chịu đựng khủng hoảng truyền thông?</t>
  </si>
  <si>
    <t>Rủi ro thiếu hụt nhân sự chủ chốt/năng lực cao - mức chấp nhận &amp; mức độ ưu tiên đầu tư?</t>
  </si>
  <si>
    <t>[Bối cảnh: VDS sở hữu 2 tài nguyên lõi - dữ liệu thay thế (viễn thông &amp; thanh toán) và năng lực backtest mô hình; là lợi thế cạnh tranh cốt lõi của chiến lược dữ liệu.] Ranh giới sử dụng dữ liệu viễn thông/hành vi để chấm điểm tín dụng (đối chiếu Luật Bảo vệ dữ liệu cá nhân &amp; Luật Dữ liệu) đến đâu là chấp nhận được? Mức chấp nhận sai số mô hình (từ chối nhầm/duyệt nhầm) là bao nhiêu?</t>
  </si>
  <si>
    <t>[Bối cảnh: sứ mệnh 'tài chính toàn diện' phục vụ nhóm yếu thế — chỉ 4% dân số có thẻ tín dụng, 42% nhóm underbanked từng vay tín dụng đen, 62% dân nông thôn khó tiếp cận tài chính chính thống.] Đây vừa là sứ mệnh vừa là tệp rủi ro cao. Mức chấp nhận rủi ro khách hàng vay chồng vay  là bao nhiêu? Khẩu vị cho tệp này có cần thận trọng hơn tệp phổ thông, hay chấp nhận rủi ro cao hơn vì sứ mệnh?</t>
  </si>
  <si>
    <t>Khi chuyển sang mô hình holding với nhiều công ty con - mức chấp nhận rủi ro về giao dịch liên quan và chuyển giá (related-party transactions) và xung đột lợi ích giữa các đơn vị trong tập đoàn? Cơ chế kiểm soát nào bắt buộc phải có trước khi mở rộng?</t>
  </si>
  <si>
    <t>Câu này có thể chưa cần thiết ngay</t>
  </si>
  <si>
    <t>Với SCF cho SME dựa trên dữ liệu giao dịch qua AI/IoT/Blockchain - mức chấp nhận rủi ro khi dữ liệu đầu vào từ đối tác/nền tảng thứ ba không chính xác hoặc bị thao túng? Trách nhiệm thuộc về ai khi mô hình quyết định sai do lỗi dữ liệu đối tác?</t>
  </si>
  <si>
    <t>B3.3</t>
  </si>
  <si>
    <t>Tín dụng số + ngân hàng số + SCF cùng tạo ra danh mục cho vay lớn vào 2030. Ban lãnh đạo muốn đặt trần nợ xấu/tỷ lệ mất vốn cho toàn danh mục ở mức cố định qua các năm, hay cho phép nới rộng ở giai đoạn đầu (khi đang giành thị phần) rồi siết dần khi danh mục trưởng thành? Ngưỡng cảnh báo (trigger) và ngưỡng buộc dừng (limit) nên đặt ở đâu?</t>
  </si>
  <si>
    <t>Mức chấp nhận rủi ro khi triển khai trước - chuẩn bị nguồn lực/hệ thống - trong lúc giấy phép chưa chắc chắn là đến đâu? Có được phép 'chạy thử' dịch vụ ở vùng xám pháp lý để đón đầu không, hay chỉ triển khai khi đã có cơ sở pháp lý rõ ràng?</t>
  </si>
  <si>
    <t>VDS mang thương hiệu Viettel và sứ mệnh 'tài chính toàn diện' quốc gia; đồng thời phục vụ tệp yếu thế bằng tín dụng, do đó một sự cố (VD thu hồi nợ gây bức xúc xã hội, khách hàng yếu thế mất khả năng trả nợ hàng loạt, lộ dữ liệu diện rộng) có thể tổn hại cả thương hiệu Tập đoàn. Loại sự kiện danh tiếng nào là tuyệt đối không được phép xảy ra, kể cả khi đánh đổi tăng trưởng?</t>
  </si>
  <si>
    <t>Với rủi ro vận hành: gian lận từ khách hàng, khiếu nại thông thường của khách hàng: mức 'chấp nhận được' là bao nhiêu, ngưỡng nào buộc phải hành động? (ngưỡng ở đây là quy mô bị ảnh hưởng nếu xảy ra sự cố)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</si>
</sst>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i/>
      <sz val="13"/>
      <color rgb="FF000000"/>
      <name val="Times New Roman"/>
      <family val="1"/>
    </font>
    <font>
      <sz val="11"/>
      <color theme="1"/>
      <name val="Times New Roman"/>
      <family val="1"/>
    </font>
    <font>
      <i/>
      <sz val="10"/>
      <color rgb="FF595959"/>
      <name val="Times New Roman"/>
      <family val="1"/>
    </font>
    <font>
      <b/>
      <sz val="10"/>
      <color rgb="FF000000"/>
      <name val="Times New Roman"/>
      <family val="1"/>
    </font>
    <font>
      <sz val="10"/>
      <color rgb="FF000000"/>
      <name val="Times New Roman"/>
      <family val="1"/>
    </font>
    <font>
      <b/>
      <i/>
      <sz val="10"/>
      <color theme="0"/>
      <name val="Times New Roman"/>
      <family val="1"/>
    </font>
    <font>
      <b/>
      <i/>
      <sz val="10.5"/>
      <color rgb="FF000000"/>
      <name val="Times New Roman"/>
      <family val="1"/>
    </font>
    <font>
      <sz val="9"/>
      <color rgb="FF595959"/>
      <name val="Times New Roman"/>
      <family val="1"/>
    </font>
    <font>
      <sz val="11"/>
      <name val="Times New Roman"/>
      <family val="1"/>
    </font>
    <font>
      <b/>
      <sz val="11"/>
      <name val="Times New Roman"/>
      <family val="1"/>
    </font>
    <font>
      <b/>
      <sz val="10"/>
      <color theme="0"/>
      <name val="Times New Roman"/>
      <family val="1"/>
    </font>
    <font>
      <b/>
      <sz val="10"/>
      <name val="Times New Roman"/>
      <family val="1"/>
    </font>
    <font>
      <b/>
      <sz val="14"/>
      <color theme="3"/>
      <name val="Times New Roman"/>
      <family val="1"/>
    </font>
    <font>
      <sz val="10"/>
      <color rgb="FFFF0000"/>
      <name val="Times New Roman"/>
      <family val="1"/>
    </font>
    <font>
      <b/>
      <i/>
      <sz val="10"/>
      <color rgb="FF000000"/>
      <name val="Times New Roman"/>
      <family val="1"/>
    </font>
    <font>
      <b/>
      <sz val="11"/>
      <color theme="1"/>
      <name val="Times New Roman"/>
      <family val="1"/>
    </font>
    <font>
      <b/>
      <sz val="11"/>
      <color theme="0"/>
      <name val="Times New Roman"/>
      <family val="1"/>
    </font>
    <font>
      <sz val="9"/>
      <color indexed="81"/>
      <name val="Tahoma"/>
      <family val="2"/>
    </font>
    <font>
      <b/>
      <sz val="9"/>
      <color indexed="81"/>
      <name val="Tahoma"/>
      <family val="2"/>
    </font>
  </fonts>
  <fills count="12">
    <fill>
      <patternFill patternType="none"/>
    </fill>
    <fill>
      <patternFill patternType="gray125"/>
    </fill>
    <fill>
      <patternFill patternType="solid">
        <fgColor theme="5" tint="0.79998168889431442"/>
        <bgColor indexed="64"/>
      </patternFill>
    </fill>
    <fill>
      <patternFill patternType="solid">
        <fgColor rgb="FFC00000"/>
        <bgColor indexed="64"/>
      </patternFill>
    </fill>
    <fill>
      <patternFill patternType="solid">
        <fgColor theme="4"/>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theme="5"/>
        <bgColor indexed="64"/>
      </patternFill>
    </fill>
    <fill>
      <patternFill patternType="solid">
        <fgColor theme="6"/>
        <bgColor indexed="64"/>
      </patternFill>
    </fill>
    <fill>
      <patternFill patternType="solid">
        <fgColor theme="6" tint="0.79998168889431442"/>
        <bgColor indexed="64"/>
      </patternFill>
    </fill>
    <fill>
      <patternFill patternType="solid">
        <fgColor theme="5" tint="-0.249977111117893"/>
        <bgColor indexed="64"/>
      </patternFill>
    </fill>
  </fills>
  <borders count="6">
    <border>
      <left/>
      <right/>
      <top/>
      <bottom/>
      <diagonal/>
    </border>
    <border>
      <left style="thin">
        <color rgb="FFB4C6E7"/>
      </left>
      <right style="thin">
        <color rgb="FFB4C6E7"/>
      </right>
      <top style="thin">
        <color rgb="FFB4C6E7"/>
      </top>
      <bottom style="thin">
        <color rgb="FFB4C6E7"/>
      </bottom>
      <diagonal/>
    </border>
    <border>
      <left style="thin">
        <color indexed="64"/>
      </left>
      <right style="thin">
        <color indexed="64"/>
      </right>
      <top style="thin">
        <color indexed="64"/>
      </top>
      <bottom style="thin">
        <color indexed="64"/>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E7"/>
      </left>
      <right/>
      <top style="thin">
        <color rgb="FFB4C6E7"/>
      </top>
      <bottom style="thin">
        <color rgb="FFB4C6E7"/>
      </bottom>
      <diagonal/>
    </border>
  </borders>
  <cellStyleXfs count="1">
    <xf numFmtId="0" fontId="0" fillId="0" borderId="0"/>
  </cellStyleXfs>
  <cellXfs count="62">
    <xf numFmtId="0" fontId="0" fillId="0" borderId="0" xfId="0"/>
    <xf numFmtId="0" fontId="2" fillId="0" borderId="0" xfId="0" applyFont="1"/>
    <xf numFmtId="0" fontId="4" fillId="0" borderId="2" xfId="0" applyFont="1" applyBorder="1" applyAlignment="1">
      <alignment horizontal="left" vertical="top" wrapText="1"/>
    </xf>
    <xf numFmtId="0" fontId="5" fillId="0" borderId="2" xfId="0" applyFont="1" applyBorder="1" applyAlignment="1">
      <alignment horizontal="left" vertical="top" wrapText="1"/>
    </xf>
    <xf numFmtId="0" fontId="6" fillId="3" borderId="2" xfId="0" applyFont="1" applyFill="1" applyBorder="1" applyAlignment="1">
      <alignment horizontal="center" vertical="center" wrapText="1"/>
    </xf>
    <xf numFmtId="0" fontId="4" fillId="0" borderId="2" xfId="0" quotePrefix="1" applyFont="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4" borderId="1" xfId="0" applyFont="1" applyFill="1" applyBorder="1" applyAlignment="1">
      <alignment horizontal="center" vertical="center" wrapText="1"/>
    </xf>
    <xf numFmtId="0" fontId="7" fillId="5" borderId="1" xfId="0" applyFont="1" applyFill="1" applyBorder="1" applyAlignment="1">
      <alignment vertical="center"/>
    </xf>
    <xf numFmtId="0" fontId="2" fillId="0" borderId="0" xfId="0" applyFont="1" applyAlignment="1">
      <alignment horizontal="center"/>
    </xf>
    <xf numFmtId="0" fontId="2" fillId="0" borderId="4" xfId="0" applyFont="1" applyBorder="1"/>
    <xf numFmtId="0" fontId="4" fillId="0" borderId="1" xfId="0" applyFont="1" applyBorder="1" applyAlignment="1">
      <alignment horizontal="left" vertical="top" wrapText="1"/>
    </xf>
    <xf numFmtId="0" fontId="8" fillId="0" borderId="1" xfId="0" applyFont="1" applyBorder="1" applyAlignment="1">
      <alignment horizontal="left" vertical="top" wrapText="1"/>
    </xf>
    <xf numFmtId="3" fontId="5" fillId="0" borderId="1" xfId="0" applyNumberFormat="1" applyFont="1" applyBorder="1" applyAlignment="1">
      <alignment horizontal="center" vertical="center" wrapText="1"/>
    </xf>
    <xf numFmtId="0" fontId="9" fillId="0" borderId="0" xfId="0" applyFont="1" applyAlignment="1">
      <alignment vertical="center"/>
    </xf>
    <xf numFmtId="0" fontId="8" fillId="0" borderId="0" xfId="0" applyFont="1" applyAlignment="1">
      <alignment vertical="top"/>
    </xf>
    <xf numFmtId="0" fontId="10" fillId="0" borderId="0" xfId="0" applyFont="1" applyAlignment="1">
      <alignment vertical="top"/>
    </xf>
    <xf numFmtId="0" fontId="9" fillId="0" borderId="0" xfId="0" applyFont="1"/>
    <xf numFmtId="0" fontId="12" fillId="6" borderId="1" xfId="0" applyFont="1" applyFill="1" applyBorder="1" applyAlignment="1">
      <alignment horizontal="left" vertical="top"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0" fontId="11" fillId="7" borderId="1" xfId="0" applyFont="1" applyFill="1" applyBorder="1" applyAlignment="1">
      <alignment horizontal="center" vertical="center" wrapText="1"/>
    </xf>
    <xf numFmtId="9" fontId="5" fillId="0" borderId="1" xfId="0" applyNumberFormat="1" applyFont="1" applyBorder="1" applyAlignment="1">
      <alignment horizontal="center" vertical="center" wrapText="1"/>
    </xf>
    <xf numFmtId="9" fontId="4" fillId="0" borderId="1" xfId="0" applyNumberFormat="1" applyFont="1" applyBorder="1" applyAlignment="1">
      <alignment horizontal="center" vertical="center" wrapText="1"/>
    </xf>
    <xf numFmtId="0" fontId="11" fillId="7" borderId="1" xfId="0" applyFont="1" applyFill="1" applyBorder="1" applyAlignment="1">
      <alignment horizontal="left" vertical="top" wrapText="1"/>
    </xf>
    <xf numFmtId="0" fontId="13" fillId="0" borderId="0" xfId="0" applyFont="1" applyAlignment="1">
      <alignment vertical="center"/>
    </xf>
    <xf numFmtId="0" fontId="2" fillId="0" borderId="0" xfId="0" applyFont="1" applyAlignment="1">
      <alignment vertical="center"/>
    </xf>
    <xf numFmtId="0" fontId="2" fillId="5" borderId="3" xfId="0" applyFont="1" applyFill="1" applyBorder="1" applyAlignment="1">
      <alignment vertical="center"/>
    </xf>
    <xf numFmtId="0" fontId="2" fillId="5" borderId="3" xfId="0" applyFont="1" applyFill="1" applyBorder="1" applyAlignment="1">
      <alignment horizontal="center" vertical="center"/>
    </xf>
    <xf numFmtId="0" fontId="2" fillId="5" borderId="4" xfId="0" applyFont="1" applyFill="1" applyBorder="1" applyAlignment="1">
      <alignment vertical="center"/>
    </xf>
    <xf numFmtId="0" fontId="5" fillId="0" borderId="1" xfId="0" applyFont="1" applyBorder="1" applyAlignment="1">
      <alignment horizontal="left" vertical="center" wrapText="1"/>
    </xf>
    <xf numFmtId="0" fontId="5" fillId="0" borderId="1" xfId="0" quotePrefix="1" applyFont="1" applyBorder="1" applyAlignment="1">
      <alignment horizontal="left" vertical="center" wrapText="1"/>
    </xf>
    <xf numFmtId="0" fontId="6" fillId="8" borderId="1" xfId="0" applyFont="1" applyFill="1" applyBorder="1" applyAlignment="1">
      <alignment horizontal="center" vertical="center" wrapText="1"/>
    </xf>
    <xf numFmtId="0" fontId="7" fillId="2" borderId="1" xfId="0" applyFont="1" applyFill="1" applyBorder="1" applyAlignment="1">
      <alignment vertical="center"/>
    </xf>
    <xf numFmtId="0" fontId="2" fillId="2" borderId="3" xfId="0" applyFont="1" applyFill="1" applyBorder="1"/>
    <xf numFmtId="0" fontId="2" fillId="2" borderId="4" xfId="0" applyFont="1" applyFill="1" applyBorder="1"/>
    <xf numFmtId="0" fontId="2" fillId="2" borderId="3" xfId="0" applyFont="1" applyFill="1" applyBorder="1" applyAlignment="1">
      <alignment horizontal="center"/>
    </xf>
    <xf numFmtId="0" fontId="5" fillId="0" borderId="1" xfId="0" applyFont="1" applyBorder="1" applyAlignment="1">
      <alignment horizontal="center" vertical="top" wrapText="1"/>
    </xf>
    <xf numFmtId="0" fontId="15" fillId="9" borderId="1" xfId="0" applyFont="1" applyFill="1" applyBorder="1" applyAlignment="1">
      <alignment horizontal="center" vertical="center" wrapText="1"/>
    </xf>
    <xf numFmtId="0" fontId="7" fillId="10" borderId="1" xfId="0" applyFont="1" applyFill="1" applyBorder="1" applyAlignment="1">
      <alignment vertical="center"/>
    </xf>
    <xf numFmtId="0" fontId="2" fillId="0" borderId="0" xfId="0" applyFont="1" applyAlignment="1">
      <alignment wrapText="1"/>
    </xf>
    <xf numFmtId="0" fontId="2" fillId="0" borderId="2" xfId="0" applyFont="1" applyBorder="1" applyAlignment="1">
      <alignment vertical="center" wrapText="1"/>
    </xf>
    <xf numFmtId="0" fontId="16" fillId="0" borderId="2" xfId="0" applyFont="1" applyBorder="1" applyAlignment="1">
      <alignment vertical="center" wrapText="1"/>
    </xf>
    <xf numFmtId="0" fontId="17" fillId="11" borderId="2" xfId="0" applyFont="1" applyFill="1" applyBorder="1" applyAlignment="1">
      <alignment horizontal="center" vertical="center" wrapText="1"/>
    </xf>
    <xf numFmtId="0" fontId="2" fillId="10" borderId="3" xfId="0" applyFont="1" applyFill="1" applyBorder="1" applyAlignment="1">
      <alignment vertical="center"/>
    </xf>
    <xf numFmtId="0" fontId="2" fillId="10" borderId="4" xfId="0" applyFont="1" applyFill="1" applyBorder="1" applyAlignment="1">
      <alignment vertical="center"/>
    </xf>
    <xf numFmtId="0" fontId="6" fillId="3" borderId="1" xfId="0" applyFont="1" applyFill="1" applyBorder="1" applyAlignment="1">
      <alignment horizontal="center" vertical="center" wrapText="1"/>
    </xf>
    <xf numFmtId="0" fontId="3" fillId="0" borderId="0" xfId="0" applyFont="1" applyAlignment="1">
      <alignment horizontal="left" vertical="center" wrapText="1"/>
    </xf>
    <xf numFmtId="0" fontId="2" fillId="0" borderId="0" xfId="0" applyFont="1"/>
    <xf numFmtId="0" fontId="1" fillId="0" borderId="0" xfId="0" applyFont="1" applyAlignment="1">
      <alignment horizontal="center" vertical="center" wrapText="1"/>
    </xf>
    <xf numFmtId="0" fontId="5" fillId="0" borderId="5" xfId="0" applyFont="1" applyBorder="1" applyAlignment="1">
      <alignment horizontal="left" vertical="top" wrapText="1"/>
    </xf>
    <xf numFmtId="0" fontId="0" fillId="0" borderId="3" xfId="0" applyBorder="1"/>
    <xf numFmtId="0" fontId="5" fillId="0" borderId="1" xfId="0" applyFont="1" applyBorder="1" applyAlignment="1">
      <alignment horizontal="left" vertical="top" wrapText="1"/>
    </xf>
    <xf numFmtId="0" fontId="0" fillId="0" borderId="4" xfId="0" applyBorder="1"/>
    <xf numFmtId="0" fontId="4" fillId="0" borderId="1" xfId="0" applyFont="1" applyBorder="1" applyAlignment="1">
      <alignment horizontal="left" vertical="top" wrapText="1"/>
    </xf>
    <xf numFmtId="0" fontId="14" fillId="0" borderId="5" xfId="0" applyFont="1" applyBorder="1" applyAlignment="1">
      <alignment horizontal="left" vertical="top" wrapText="1"/>
    </xf>
    <xf numFmtId="0" fontId="11" fillId="7" borderId="1" xfId="0" applyFont="1" applyFill="1" applyBorder="1" applyAlignment="1">
      <alignment horizontal="center" vertical="center" wrapText="1"/>
    </xf>
    <xf numFmtId="0" fontId="2" fillId="0" borderId="0" xfId="0" applyFont="1" applyAlignment="1">
      <alignment horizontal="center"/>
    </xf>
    <xf numFmtId="0" fontId="3" fillId="0" borderId="0" xfId="0" applyFont="1" applyAlignment="1">
      <alignment horizontal="center" vertical="center" wrapText="1"/>
    </xf>
  </cellXfs>
  <cellStyles count="1">
    <cellStyle name="Normal" xfId="0" builtinId="0"/>
  </cellStyles>
  <dxfs count="25">
    <dxf>
      <fill>
        <patternFill>
          <bgColor theme="4" tint="0.79998168889431442"/>
        </patternFill>
      </fill>
    </dxf>
    <dxf>
      <fill>
        <patternFill>
          <bgColor rgb="FFFF0000"/>
        </patternFill>
      </fill>
    </dxf>
    <dxf>
      <fill>
        <patternFill>
          <bgColor rgb="FFFFFF00"/>
        </patternFill>
      </fill>
    </dxf>
    <dxf>
      <fill>
        <patternFill>
          <bgColor theme="6"/>
        </patternFill>
      </fill>
    </dxf>
    <dxf>
      <fill>
        <patternFill>
          <bgColor theme="5" tint="0.39994506668294322"/>
        </patternFill>
      </fill>
    </dxf>
    <dxf>
      <fill>
        <patternFill>
          <bgColor theme="4" tint="0.79998168889431442"/>
        </patternFill>
      </fill>
    </dxf>
    <dxf>
      <fill>
        <patternFill>
          <bgColor rgb="FFFF0000"/>
        </patternFill>
      </fill>
    </dxf>
    <dxf>
      <fill>
        <patternFill>
          <bgColor rgb="FFFFFF00"/>
        </patternFill>
      </fill>
    </dxf>
    <dxf>
      <fill>
        <patternFill>
          <bgColor theme="6"/>
        </patternFill>
      </fill>
    </dxf>
    <dxf>
      <fill>
        <patternFill>
          <bgColor theme="5" tint="0.39994506668294322"/>
        </patternFill>
      </fill>
    </dxf>
    <dxf>
      <fill>
        <patternFill>
          <bgColor theme="5" tint="0.39994506668294322"/>
        </patternFill>
      </fill>
    </dxf>
    <dxf>
      <fill>
        <patternFill>
          <bgColor theme="6"/>
        </patternFill>
      </fill>
    </dxf>
    <dxf>
      <fill>
        <patternFill>
          <bgColor theme="4" tint="0.79998168889431442"/>
        </patternFill>
      </fill>
    </dxf>
    <dxf>
      <fill>
        <patternFill>
          <bgColor rgb="FFFF0000"/>
        </patternFill>
      </fill>
    </dxf>
    <dxf>
      <fill>
        <patternFill>
          <bgColor rgb="FFFFFF00"/>
        </patternFill>
      </fill>
    </dxf>
    <dxf>
      <fill>
        <patternFill>
          <bgColor theme="4" tint="0.79998168889431442"/>
        </patternFill>
      </fill>
    </dxf>
    <dxf>
      <fill>
        <patternFill>
          <bgColor rgb="FFFF0000"/>
        </patternFill>
      </fill>
    </dxf>
    <dxf>
      <fill>
        <patternFill>
          <bgColor rgb="FFFFFF00"/>
        </patternFill>
      </fill>
    </dxf>
    <dxf>
      <fill>
        <patternFill>
          <bgColor theme="6"/>
        </patternFill>
      </fill>
    </dxf>
    <dxf>
      <fill>
        <patternFill>
          <bgColor theme="5" tint="0.39994506668294322"/>
        </patternFill>
      </fill>
    </dxf>
    <dxf>
      <fill>
        <patternFill>
          <bgColor theme="4" tint="0.79998168889431442"/>
        </patternFill>
      </fill>
    </dxf>
    <dxf>
      <fill>
        <patternFill>
          <bgColor rgb="FFFF0000"/>
        </patternFill>
      </fill>
    </dxf>
    <dxf>
      <fill>
        <patternFill>
          <bgColor rgb="FFFFFF00"/>
        </patternFill>
      </fill>
    </dxf>
    <dxf>
      <fill>
        <patternFill>
          <bgColor theme="6"/>
        </patternFill>
      </fill>
    </dxf>
    <dxf>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4"/>
  <sheetViews>
    <sheetView showGridLines="0" zoomScale="141" zoomScaleNormal="115" workbookViewId="0">
      <pane ySplit="2" topLeftCell="A18" activePane="bottomLeft" state="frozen"/>
      <selection pane="bottomLeft" activeCell="A7" sqref="A7"/>
    </sheetView>
  </sheetViews>
  <sheetFormatPr baseColWidth="10" defaultColWidth="8.6640625" defaultRowHeight="14" x14ac:dyDescent="0.15"/>
  <cols>
    <col min="1" max="1" width="30" style="1" customWidth="1"/>
    <col min="2" max="2" width="12" style="1" customWidth="1"/>
    <col min="3" max="3" width="12.83203125" style="1" customWidth="1"/>
    <col min="4" max="4" width="15.6640625" style="1" customWidth="1"/>
    <col min="5" max="5" width="40" style="1" customWidth="1"/>
    <col min="6" max="6" width="34" style="1" customWidth="1"/>
    <col min="7" max="7" width="8.6640625" style="1" customWidth="1"/>
    <col min="8" max="16384" width="8.6640625" style="1"/>
  </cols>
  <sheetData>
    <row r="1" spans="1:6" ht="25.5" customHeight="1" x14ac:dyDescent="0.15">
      <c r="A1" s="28" t="s">
        <v>81</v>
      </c>
      <c r="B1" s="15"/>
      <c r="C1" s="15"/>
      <c r="D1" s="15"/>
      <c r="E1" s="15"/>
      <c r="F1" s="15"/>
    </row>
    <row r="2" spans="1:6" ht="14" customHeight="1" x14ac:dyDescent="0.15">
      <c r="A2" s="16" t="s">
        <v>82</v>
      </c>
    </row>
    <row r="3" spans="1:6" ht="14" customHeight="1" x14ac:dyDescent="0.15">
      <c r="A3" s="17" t="s">
        <v>83</v>
      </c>
      <c r="B3" s="18"/>
      <c r="C3" s="18"/>
      <c r="D3" s="18"/>
      <c r="E3" s="18"/>
      <c r="F3" s="18"/>
    </row>
    <row r="4" spans="1:6" ht="25.5" customHeight="1" x14ac:dyDescent="0.2">
      <c r="A4" s="19" t="s">
        <v>84</v>
      </c>
      <c r="B4" s="53" t="s">
        <v>85</v>
      </c>
      <c r="C4" s="54"/>
      <c r="D4" s="54"/>
      <c r="E4" s="54"/>
      <c r="F4" s="11"/>
    </row>
    <row r="5" spans="1:6" ht="14" customHeight="1" x14ac:dyDescent="0.2">
      <c r="A5" s="19" t="s">
        <v>86</v>
      </c>
      <c r="B5" s="53" t="s">
        <v>87</v>
      </c>
      <c r="C5" s="54"/>
      <c r="D5" s="54"/>
      <c r="E5" s="54"/>
      <c r="F5" s="11"/>
    </row>
    <row r="6" spans="1:6" ht="27" customHeight="1" x14ac:dyDescent="0.2">
      <c r="A6" s="19" t="s">
        <v>88</v>
      </c>
      <c r="B6" s="53" t="s">
        <v>89</v>
      </c>
      <c r="C6" s="54"/>
      <c r="D6" s="54"/>
      <c r="E6" s="54"/>
      <c r="F6" s="11"/>
    </row>
    <row r="7" spans="1:6" ht="27" customHeight="1" x14ac:dyDescent="0.2">
      <c r="A7" s="19" t="s">
        <v>90</v>
      </c>
      <c r="B7" s="53" t="s">
        <v>91</v>
      </c>
      <c r="C7" s="54"/>
      <c r="D7" s="54"/>
      <c r="E7" s="54"/>
      <c r="F7" s="11"/>
    </row>
    <row r="8" spans="1:6" ht="27" customHeight="1" x14ac:dyDescent="0.2">
      <c r="A8" s="19" t="s">
        <v>92</v>
      </c>
      <c r="B8" s="58" t="s">
        <v>93</v>
      </c>
      <c r="C8" s="54"/>
      <c r="D8" s="54"/>
      <c r="E8" s="54"/>
      <c r="F8" s="11"/>
    </row>
    <row r="10" spans="1:6" ht="14" customHeight="1" x14ac:dyDescent="0.15">
      <c r="A10" s="17" t="s">
        <v>94</v>
      </c>
      <c r="B10" s="18"/>
      <c r="C10" s="18"/>
      <c r="D10" s="18"/>
      <c r="E10" s="18"/>
      <c r="F10" s="18"/>
    </row>
    <row r="11" spans="1:6" ht="39" customHeight="1" x14ac:dyDescent="0.15">
      <c r="A11" s="24" t="s">
        <v>95</v>
      </c>
      <c r="B11" s="24" t="s">
        <v>96</v>
      </c>
      <c r="C11" s="24" t="s">
        <v>97</v>
      </c>
      <c r="D11" s="24" t="s">
        <v>98</v>
      </c>
      <c r="E11" s="24" t="s">
        <v>99</v>
      </c>
      <c r="F11" s="24" t="s">
        <v>100</v>
      </c>
    </row>
    <row r="12" spans="1:6" ht="26" customHeight="1" x14ac:dyDescent="0.15">
      <c r="A12" s="12" t="s">
        <v>101</v>
      </c>
      <c r="B12" s="14">
        <v>1302</v>
      </c>
      <c r="C12" s="21">
        <v>2770</v>
      </c>
      <c r="D12" s="25">
        <v>0.16</v>
      </c>
      <c r="E12" s="7" t="s">
        <v>102</v>
      </c>
      <c r="F12" s="13" t="s">
        <v>103</v>
      </c>
    </row>
    <row r="13" spans="1:6" ht="52" customHeight="1" x14ac:dyDescent="0.15">
      <c r="A13" s="12" t="s">
        <v>104</v>
      </c>
      <c r="B13" s="6">
        <v>281</v>
      </c>
      <c r="C13" s="21">
        <v>1086</v>
      </c>
      <c r="D13" s="25">
        <v>0.31</v>
      </c>
      <c r="E13" s="7" t="s">
        <v>105</v>
      </c>
      <c r="F13" s="13" t="s">
        <v>106</v>
      </c>
    </row>
    <row r="14" spans="1:6" ht="39" customHeight="1" x14ac:dyDescent="0.15">
      <c r="A14" s="12" t="s">
        <v>107</v>
      </c>
      <c r="B14" s="6">
        <v>120</v>
      </c>
      <c r="C14" s="20">
        <v>603</v>
      </c>
      <c r="D14" s="25">
        <v>0.38</v>
      </c>
      <c r="E14" s="7" t="s">
        <v>108</v>
      </c>
      <c r="F14" s="13" t="s">
        <v>109</v>
      </c>
    </row>
    <row r="15" spans="1:6" ht="26" customHeight="1" x14ac:dyDescent="0.15">
      <c r="A15" s="12" t="s">
        <v>110</v>
      </c>
      <c r="B15" s="6">
        <v>0</v>
      </c>
      <c r="C15" s="20">
        <v>547</v>
      </c>
      <c r="D15" s="6" t="s">
        <v>111</v>
      </c>
      <c r="E15" s="7" t="s">
        <v>112</v>
      </c>
      <c r="F15" s="13" t="s">
        <v>113</v>
      </c>
    </row>
    <row r="16" spans="1:6" ht="39" customHeight="1" x14ac:dyDescent="0.15">
      <c r="A16" s="12" t="s">
        <v>114</v>
      </c>
      <c r="B16" s="6">
        <v>0</v>
      </c>
      <c r="C16" s="21">
        <v>3564</v>
      </c>
      <c r="D16" s="6" t="s">
        <v>111</v>
      </c>
      <c r="E16" s="7" t="s">
        <v>115</v>
      </c>
      <c r="F16" s="13" t="s">
        <v>116</v>
      </c>
    </row>
    <row r="17" spans="1:6" ht="26" customHeight="1" x14ac:dyDescent="0.15">
      <c r="A17" s="12" t="s">
        <v>117</v>
      </c>
      <c r="B17" s="6">
        <v>0</v>
      </c>
      <c r="C17" s="20">
        <v>716</v>
      </c>
      <c r="D17" s="6" t="s">
        <v>111</v>
      </c>
      <c r="E17" s="7" t="s">
        <v>118</v>
      </c>
      <c r="F17" s="13" t="s">
        <v>119</v>
      </c>
    </row>
    <row r="18" spans="1:6" ht="26" customHeight="1" x14ac:dyDescent="0.15">
      <c r="A18" s="12" t="s">
        <v>120</v>
      </c>
      <c r="B18" s="6">
        <v>0</v>
      </c>
      <c r="C18" s="21">
        <v>1005</v>
      </c>
      <c r="D18" s="6" t="s">
        <v>111</v>
      </c>
      <c r="E18" s="7" t="s">
        <v>121</v>
      </c>
      <c r="F18" s="13" t="s">
        <v>122</v>
      </c>
    </row>
    <row r="19" spans="1:6" ht="26" customHeight="1" x14ac:dyDescent="0.15">
      <c r="A19" s="12" t="s">
        <v>123</v>
      </c>
      <c r="B19" s="22" t="s">
        <v>124</v>
      </c>
      <c r="C19" s="23" t="s">
        <v>124</v>
      </c>
      <c r="D19" s="6" t="s">
        <v>111</v>
      </c>
      <c r="E19" s="7" t="s">
        <v>125</v>
      </c>
      <c r="F19" s="13" t="s">
        <v>126</v>
      </c>
    </row>
    <row r="20" spans="1:6" ht="29" customHeight="1" x14ac:dyDescent="0.2">
      <c r="A20" s="12" t="s">
        <v>127</v>
      </c>
      <c r="B20" s="21">
        <v>4648</v>
      </c>
      <c r="C20" s="21">
        <v>11100</v>
      </c>
      <c r="D20" s="26">
        <v>0.33</v>
      </c>
      <c r="E20" s="57" t="s">
        <v>128</v>
      </c>
      <c r="F20" s="56"/>
    </row>
    <row r="22" spans="1:6" ht="14" customHeight="1" x14ac:dyDescent="0.15">
      <c r="A22" s="17" t="s">
        <v>129</v>
      </c>
      <c r="B22" s="18"/>
      <c r="C22" s="18"/>
      <c r="D22" s="18"/>
      <c r="E22" s="18"/>
      <c r="F22" s="18"/>
    </row>
    <row r="23" spans="1:6" ht="15" x14ac:dyDescent="0.2">
      <c r="A23" s="24" t="s">
        <v>130</v>
      </c>
      <c r="B23" s="59" t="s">
        <v>131</v>
      </c>
      <c r="C23" s="54"/>
      <c r="D23" s="54"/>
      <c r="E23" s="56"/>
      <c r="F23" s="24" t="s">
        <v>100</v>
      </c>
    </row>
    <row r="24" spans="1:6" ht="43" customHeight="1" x14ac:dyDescent="0.2">
      <c r="A24" s="27" t="s">
        <v>132</v>
      </c>
      <c r="B24" s="55" t="s">
        <v>133</v>
      </c>
      <c r="C24" s="54"/>
      <c r="D24" s="54"/>
      <c r="E24" s="56"/>
      <c r="F24" s="13" t="s">
        <v>134</v>
      </c>
    </row>
    <row r="25" spans="1:6" ht="29.5" customHeight="1" x14ac:dyDescent="0.2">
      <c r="A25" s="27" t="s">
        <v>135</v>
      </c>
      <c r="B25" s="55" t="s">
        <v>136</v>
      </c>
      <c r="C25" s="54"/>
      <c r="D25" s="54"/>
      <c r="E25" s="56"/>
      <c r="F25" s="13" t="s">
        <v>137</v>
      </c>
    </row>
    <row r="26" spans="1:6" ht="29" customHeight="1" x14ac:dyDescent="0.2">
      <c r="A26" s="27" t="s">
        <v>138</v>
      </c>
      <c r="B26" s="55" t="s">
        <v>139</v>
      </c>
      <c r="C26" s="54"/>
      <c r="D26" s="54"/>
      <c r="E26" s="56"/>
      <c r="F26" s="13" t="s">
        <v>140</v>
      </c>
    </row>
    <row r="27" spans="1:6" ht="29.5" customHeight="1" x14ac:dyDescent="0.2">
      <c r="A27" s="27" t="s">
        <v>141</v>
      </c>
      <c r="B27" s="55" t="s">
        <v>142</v>
      </c>
      <c r="C27" s="54"/>
      <c r="D27" s="54"/>
      <c r="E27" s="56"/>
      <c r="F27" s="13" t="s">
        <v>143</v>
      </c>
    </row>
    <row r="29" spans="1:6" ht="14" customHeight="1" x14ac:dyDescent="0.15">
      <c r="A29" s="17" t="s">
        <v>144</v>
      </c>
      <c r="B29" s="18"/>
      <c r="C29" s="18"/>
      <c r="D29" s="18"/>
      <c r="E29" s="18"/>
      <c r="F29" s="18"/>
    </row>
    <row r="30" spans="1:6" ht="29.5" customHeight="1" x14ac:dyDescent="0.2">
      <c r="A30" s="27" t="s">
        <v>145</v>
      </c>
      <c r="B30" s="55" t="s">
        <v>146</v>
      </c>
      <c r="C30" s="54"/>
      <c r="D30" s="54"/>
      <c r="E30" s="54"/>
      <c r="F30" s="56"/>
    </row>
    <row r="31" spans="1:6" ht="29.5" customHeight="1" x14ac:dyDescent="0.2">
      <c r="A31" s="27" t="s">
        <v>147</v>
      </c>
      <c r="B31" s="55" t="s">
        <v>148</v>
      </c>
      <c r="C31" s="54"/>
      <c r="D31" s="54"/>
      <c r="E31" s="54"/>
      <c r="F31" s="56"/>
    </row>
    <row r="32" spans="1:6" ht="29.5" customHeight="1" x14ac:dyDescent="0.2">
      <c r="A32" s="27" t="s">
        <v>149</v>
      </c>
      <c r="B32" s="55" t="s">
        <v>150</v>
      </c>
      <c r="C32" s="54"/>
      <c r="D32" s="54"/>
      <c r="E32" s="54"/>
      <c r="F32" s="56"/>
    </row>
    <row r="33" spans="1:6" ht="29.5" customHeight="1" x14ac:dyDescent="0.2">
      <c r="A33" s="27" t="s">
        <v>151</v>
      </c>
      <c r="B33" s="55" t="s">
        <v>152</v>
      </c>
      <c r="C33" s="54"/>
      <c r="D33" s="54"/>
      <c r="E33" s="54"/>
      <c r="F33" s="56"/>
    </row>
    <row r="34" spans="1:6" ht="29.5" customHeight="1" x14ac:dyDescent="0.2">
      <c r="A34" s="27" t="s">
        <v>153</v>
      </c>
      <c r="B34" s="55" t="s">
        <v>154</v>
      </c>
      <c r="C34" s="54"/>
      <c r="D34" s="54"/>
      <c r="E34" s="54"/>
      <c r="F34" s="56"/>
    </row>
  </sheetData>
  <mergeCells count="16">
    <mergeCell ref="B4:E4"/>
    <mergeCell ref="B34:F34"/>
    <mergeCell ref="B33:F33"/>
    <mergeCell ref="B6:E6"/>
    <mergeCell ref="B7:E7"/>
    <mergeCell ref="B31:F31"/>
    <mergeCell ref="B25:E25"/>
    <mergeCell ref="B24:E24"/>
    <mergeCell ref="B5:E5"/>
    <mergeCell ref="B32:F32"/>
    <mergeCell ref="B30:F30"/>
    <mergeCell ref="B26:E26"/>
    <mergeCell ref="B27:E27"/>
    <mergeCell ref="E20:F20"/>
    <mergeCell ref="B8:E8"/>
    <mergeCell ref="B23:E23"/>
  </mergeCells>
  <printOptions horizontalCentered="1"/>
  <pageMargins left="0.4" right="0.4" top="0.5" bottom="0.5" header="0.2" footer="0.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showGridLines="0" zoomScale="160" zoomScaleNormal="160" workbookViewId="0">
      <pane ySplit="3" topLeftCell="A4" activePane="bottomLeft" state="frozen"/>
      <selection pane="bottomLeft" activeCell="A10" sqref="A10"/>
    </sheetView>
  </sheetViews>
  <sheetFormatPr baseColWidth="10" defaultColWidth="8.6640625" defaultRowHeight="14" x14ac:dyDescent="0.15"/>
  <cols>
    <col min="1" max="1" width="24" style="1" customWidth="1"/>
    <col min="2" max="2" width="52" style="1" customWidth="1"/>
    <col min="3" max="3" width="16" style="1" customWidth="1"/>
    <col min="4" max="4" width="8.6640625" style="1" customWidth="1"/>
    <col min="5" max="16384" width="8.6640625" style="1"/>
  </cols>
  <sheetData>
    <row r="1" spans="1:3" ht="26" customHeight="1" x14ac:dyDescent="0.15">
      <c r="A1" s="52" t="s">
        <v>155</v>
      </c>
      <c r="B1" s="51"/>
      <c r="C1" s="51"/>
    </row>
    <row r="2" spans="1:3" ht="32" customHeight="1" x14ac:dyDescent="0.15">
      <c r="A2" s="50" t="s">
        <v>156</v>
      </c>
      <c r="B2" s="51"/>
      <c r="C2" s="51"/>
    </row>
    <row r="3" spans="1:3" ht="26" customHeight="1" x14ac:dyDescent="0.15">
      <c r="A3" s="4" t="s">
        <v>157</v>
      </c>
      <c r="B3" s="4" t="s">
        <v>158</v>
      </c>
      <c r="C3" s="4" t="s">
        <v>159</v>
      </c>
    </row>
    <row r="4" spans="1:3" ht="30" customHeight="1" x14ac:dyDescent="0.15">
      <c r="A4" s="2" t="s">
        <v>160</v>
      </c>
      <c r="B4" s="3" t="s">
        <v>161</v>
      </c>
      <c r="C4" s="3" t="s">
        <v>162</v>
      </c>
    </row>
    <row r="5" spans="1:3" ht="30" customHeight="1" x14ac:dyDescent="0.15">
      <c r="A5" s="2" t="s">
        <v>163</v>
      </c>
      <c r="B5" s="3" t="s">
        <v>164</v>
      </c>
      <c r="C5" s="3" t="s">
        <v>165</v>
      </c>
    </row>
    <row r="6" spans="1:3" ht="52" customHeight="1" x14ac:dyDescent="0.15">
      <c r="A6" s="5" t="s">
        <v>166</v>
      </c>
      <c r="B6" s="3" t="s">
        <v>167</v>
      </c>
      <c r="C6" s="3" t="s">
        <v>168</v>
      </c>
    </row>
    <row r="7" spans="1:3" ht="30" customHeight="1" x14ac:dyDescent="0.15">
      <c r="A7" s="2" t="s">
        <v>169</v>
      </c>
      <c r="B7" s="3" t="s">
        <v>170</v>
      </c>
      <c r="C7" s="3" t="s">
        <v>171</v>
      </c>
    </row>
  </sheetData>
  <mergeCells count="2">
    <mergeCell ref="A1:C1"/>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showGridLines="0" zoomScale="161" zoomScaleNormal="130" workbookViewId="0">
      <pane ySplit="3" topLeftCell="A19" activePane="bottomLeft" state="frozen"/>
      <selection pane="bottomLeft" activeCell="B15" sqref="B15"/>
    </sheetView>
  </sheetViews>
  <sheetFormatPr baseColWidth="10" defaultColWidth="8.6640625" defaultRowHeight="14" x14ac:dyDescent="0.15"/>
  <cols>
    <col min="1" max="1" width="8" style="1" customWidth="1"/>
    <col min="2" max="2" width="43.5" style="1" customWidth="1"/>
    <col min="3" max="3" width="20" style="10" customWidth="1"/>
    <col min="4" max="4" width="19.83203125" style="1" customWidth="1"/>
    <col min="5" max="5" width="54.1640625" style="1" customWidth="1"/>
    <col min="6" max="6" width="8.6640625" style="1" customWidth="1"/>
    <col min="7" max="16384" width="8.6640625" style="1"/>
  </cols>
  <sheetData>
    <row r="1" spans="1:5" x14ac:dyDescent="0.15">
      <c r="A1" s="52" t="s">
        <v>172</v>
      </c>
      <c r="B1" s="51"/>
      <c r="C1" s="60"/>
      <c r="D1" s="51"/>
      <c r="E1" s="29"/>
    </row>
    <row r="2" spans="1:5" x14ac:dyDescent="0.15">
      <c r="A2" s="50" t="s">
        <v>173</v>
      </c>
      <c r="B2" s="51"/>
      <c r="C2" s="60"/>
      <c r="D2" s="51"/>
      <c r="E2" s="29"/>
    </row>
    <row r="3" spans="1:5" ht="27" customHeight="1" x14ac:dyDescent="0.15">
      <c r="A3" s="8" t="s">
        <v>2</v>
      </c>
      <c r="B3" s="8" t="s">
        <v>174</v>
      </c>
      <c r="C3" s="8" t="s">
        <v>175</v>
      </c>
      <c r="D3" s="8" t="s">
        <v>176</v>
      </c>
      <c r="E3" s="8" t="s">
        <v>177</v>
      </c>
    </row>
    <row r="4" spans="1:5" x14ac:dyDescent="0.15">
      <c r="A4" s="9" t="s">
        <v>178</v>
      </c>
      <c r="B4" s="30"/>
      <c r="C4" s="31"/>
      <c r="D4" s="32"/>
      <c r="E4" s="32"/>
    </row>
    <row r="5" spans="1:5" ht="154" x14ac:dyDescent="0.15">
      <c r="A5" s="6" t="s">
        <v>179</v>
      </c>
      <c r="B5" s="33" t="s">
        <v>180</v>
      </c>
      <c r="C5" s="6" t="s">
        <v>181</v>
      </c>
      <c r="D5" s="33"/>
      <c r="E5" s="33"/>
    </row>
    <row r="6" spans="1:5" ht="42" x14ac:dyDescent="0.15">
      <c r="A6" s="6" t="s">
        <v>182</v>
      </c>
      <c r="B6" s="33" t="s">
        <v>183</v>
      </c>
      <c r="C6" s="6" t="s">
        <v>184</v>
      </c>
      <c r="D6" s="33"/>
      <c r="E6" s="33"/>
    </row>
    <row r="7" spans="1:5" ht="42" x14ac:dyDescent="0.15">
      <c r="A7" s="6" t="s">
        <v>185</v>
      </c>
      <c r="B7" s="33" t="s">
        <v>186</v>
      </c>
      <c r="C7" s="6" t="s">
        <v>184</v>
      </c>
      <c r="D7" s="33"/>
      <c r="E7" s="33"/>
    </row>
    <row r="8" spans="1:5" x14ac:dyDescent="0.15">
      <c r="A8" s="9" t="s">
        <v>187</v>
      </c>
      <c r="B8" s="30"/>
      <c r="C8" s="31"/>
      <c r="D8" s="32"/>
      <c r="E8" s="32"/>
    </row>
    <row r="9" spans="1:5" ht="42" x14ac:dyDescent="0.15">
      <c r="A9" s="6" t="s">
        <v>188</v>
      </c>
      <c r="B9" s="33" t="s">
        <v>189</v>
      </c>
      <c r="C9" s="6" t="s">
        <v>184</v>
      </c>
      <c r="D9" s="33"/>
      <c r="E9" s="33" t="s">
        <v>190</v>
      </c>
    </row>
    <row r="10" spans="1:5" ht="84" x14ac:dyDescent="0.15">
      <c r="A10" s="6" t="s">
        <v>191</v>
      </c>
      <c r="B10" s="33" t="s">
        <v>192</v>
      </c>
      <c r="C10" s="6" t="s">
        <v>184</v>
      </c>
      <c r="D10" s="33"/>
      <c r="E10" s="33"/>
    </row>
    <row r="11" spans="1:5" ht="182" customHeight="1" x14ac:dyDescent="0.15">
      <c r="A11" s="6" t="s">
        <v>193</v>
      </c>
      <c r="B11" s="33" t="s">
        <v>194</v>
      </c>
      <c r="C11" s="6" t="s">
        <v>184</v>
      </c>
      <c r="D11" s="33"/>
      <c r="E11" s="33" t="s">
        <v>195</v>
      </c>
    </row>
    <row r="12" spans="1:5" x14ac:dyDescent="0.15">
      <c r="A12" s="9" t="s">
        <v>196</v>
      </c>
      <c r="B12" s="30"/>
      <c r="C12" s="31"/>
      <c r="D12" s="32"/>
      <c r="E12" s="32"/>
    </row>
    <row r="13" spans="1:5" ht="39" customHeight="1" x14ac:dyDescent="0.15">
      <c r="A13" s="6" t="s">
        <v>197</v>
      </c>
      <c r="B13" s="33" t="s">
        <v>198</v>
      </c>
      <c r="C13" s="6" t="s">
        <v>181</v>
      </c>
      <c r="D13" s="33"/>
      <c r="E13" s="33"/>
    </row>
    <row r="14" spans="1:5" ht="130" customHeight="1" x14ac:dyDescent="0.15">
      <c r="A14" s="6" t="s">
        <v>199</v>
      </c>
      <c r="B14" s="33" t="s">
        <v>200</v>
      </c>
      <c r="C14" s="6" t="s">
        <v>184</v>
      </c>
      <c r="D14" s="33"/>
      <c r="E14" s="34" t="s">
        <v>201</v>
      </c>
    </row>
    <row r="15" spans="1:5" x14ac:dyDescent="0.15">
      <c r="A15" s="9" t="s">
        <v>202</v>
      </c>
      <c r="B15" s="30"/>
      <c r="C15" s="31"/>
      <c r="D15" s="32"/>
      <c r="E15" s="32"/>
    </row>
    <row r="16" spans="1:5" ht="39" customHeight="1" x14ac:dyDescent="0.15">
      <c r="A16" s="6" t="s">
        <v>203</v>
      </c>
      <c r="B16" s="33" t="s">
        <v>204</v>
      </c>
      <c r="C16" s="6" t="s">
        <v>184</v>
      </c>
      <c r="D16" s="33"/>
      <c r="E16" s="33"/>
    </row>
    <row r="17" spans="1:5" ht="26" customHeight="1" x14ac:dyDescent="0.15">
      <c r="A17" s="6" t="s">
        <v>205</v>
      </c>
      <c r="B17" s="33" t="s">
        <v>206</v>
      </c>
      <c r="C17" s="6" t="s">
        <v>184</v>
      </c>
      <c r="D17" s="33"/>
      <c r="E17" s="33"/>
    </row>
    <row r="18" spans="1:5" x14ac:dyDescent="0.15">
      <c r="A18" s="9" t="s">
        <v>207</v>
      </c>
      <c r="B18" s="30"/>
      <c r="C18" s="31"/>
      <c r="D18" s="32"/>
      <c r="E18" s="32"/>
    </row>
    <row r="19" spans="1:5" ht="182" customHeight="1" x14ac:dyDescent="0.15">
      <c r="A19" s="6" t="s">
        <v>208</v>
      </c>
      <c r="B19" s="33" t="s">
        <v>209</v>
      </c>
      <c r="C19" s="6" t="s">
        <v>184</v>
      </c>
      <c r="D19" s="33"/>
      <c r="E19" s="33" t="s">
        <v>210</v>
      </c>
    </row>
    <row r="20" spans="1:5" ht="26" customHeight="1" x14ac:dyDescent="0.15">
      <c r="A20" s="6" t="s">
        <v>211</v>
      </c>
      <c r="B20" s="33" t="s">
        <v>212</v>
      </c>
      <c r="C20" s="6" t="s">
        <v>184</v>
      </c>
      <c r="D20" s="33"/>
      <c r="E20" s="33" t="s">
        <v>213</v>
      </c>
    </row>
    <row r="21" spans="1:5" x14ac:dyDescent="0.15">
      <c r="A21" s="9" t="s">
        <v>214</v>
      </c>
      <c r="B21" s="30"/>
      <c r="C21" s="31"/>
      <c r="D21" s="32"/>
      <c r="E21" s="32"/>
    </row>
    <row r="22" spans="1:5" x14ac:dyDescent="0.15">
      <c r="A22" s="6" t="s">
        <v>215</v>
      </c>
      <c r="B22" s="33" t="s">
        <v>216</v>
      </c>
      <c r="C22" s="6" t="s">
        <v>184</v>
      </c>
      <c r="D22" s="33"/>
      <c r="E22" s="33" t="s">
        <v>217</v>
      </c>
    </row>
    <row r="23" spans="1:5" ht="104" customHeight="1" x14ac:dyDescent="0.15">
      <c r="A23" s="6" t="s">
        <v>218</v>
      </c>
      <c r="B23" s="33" t="s">
        <v>219</v>
      </c>
      <c r="C23" s="6" t="s">
        <v>184</v>
      </c>
      <c r="D23" s="33"/>
      <c r="E23" s="33" t="s">
        <v>220</v>
      </c>
    </row>
  </sheetData>
  <mergeCells count="2">
    <mergeCell ref="A1:D1"/>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showGridLines="0" tabSelected="1" topLeftCell="B1" zoomScale="173" zoomScaleNormal="200" workbookViewId="0">
      <pane ySplit="3" topLeftCell="A26" activePane="bottomLeft" state="frozen"/>
      <selection pane="bottomLeft" activeCell="D12" sqref="D12"/>
    </sheetView>
  </sheetViews>
  <sheetFormatPr baseColWidth="10" defaultColWidth="8.6640625" defaultRowHeight="14" x14ac:dyDescent="0.15"/>
  <cols>
    <col min="1" max="1" width="8" style="1" customWidth="1"/>
    <col min="2" max="2" width="68" style="1" customWidth="1"/>
    <col min="3" max="3" width="20" style="10" customWidth="1"/>
    <col min="4" max="4" width="44" style="1" customWidth="1"/>
    <col min="5" max="5" width="40.6640625" style="1" customWidth="1"/>
    <col min="6" max="6" width="8.6640625" style="1" customWidth="1"/>
    <col min="7" max="16384" width="8.6640625" style="1"/>
  </cols>
  <sheetData>
    <row r="1" spans="1:5" ht="26" customHeight="1" x14ac:dyDescent="0.15">
      <c r="A1" s="52" t="s">
        <v>221</v>
      </c>
      <c r="B1" s="51"/>
      <c r="C1" s="60"/>
      <c r="D1" s="51"/>
    </row>
    <row r="2" spans="1:5" ht="30" customHeight="1" x14ac:dyDescent="0.15">
      <c r="A2" s="50" t="s">
        <v>222</v>
      </c>
      <c r="B2" s="51"/>
      <c r="C2" s="60"/>
      <c r="D2" s="51"/>
    </row>
    <row r="3" spans="1:5" ht="24" customHeight="1" x14ac:dyDescent="0.15">
      <c r="A3" s="35" t="s">
        <v>2</v>
      </c>
      <c r="B3" s="35" t="s">
        <v>174</v>
      </c>
      <c r="C3" s="35" t="s">
        <v>223</v>
      </c>
      <c r="D3" s="35" t="s">
        <v>176</v>
      </c>
      <c r="E3" s="35" t="s">
        <v>177</v>
      </c>
    </row>
    <row r="4" spans="1:5" ht="20" customHeight="1" x14ac:dyDescent="0.15">
      <c r="A4" s="36" t="s">
        <v>224</v>
      </c>
      <c r="B4" s="37"/>
      <c r="C4" s="39"/>
      <c r="D4" s="38"/>
      <c r="E4" s="38"/>
    </row>
    <row r="5" spans="1:5" ht="39" customHeight="1" x14ac:dyDescent="0.15">
      <c r="A5" s="6" t="s">
        <v>225</v>
      </c>
      <c r="B5" s="7" t="s">
        <v>226</v>
      </c>
      <c r="C5" s="6" t="s">
        <v>181</v>
      </c>
      <c r="D5" s="7"/>
      <c r="E5" s="7"/>
    </row>
    <row r="6" spans="1:5" ht="26" customHeight="1" x14ac:dyDescent="0.15">
      <c r="A6" s="6" t="s">
        <v>227</v>
      </c>
      <c r="B6" s="7" t="s">
        <v>228</v>
      </c>
      <c r="C6" s="6" t="s">
        <v>181</v>
      </c>
      <c r="D6" s="7"/>
      <c r="E6" s="7"/>
    </row>
    <row r="7" spans="1:5" x14ac:dyDescent="0.15">
      <c r="A7" s="36" t="s">
        <v>229</v>
      </c>
      <c r="B7" s="37"/>
      <c r="C7" s="39"/>
      <c r="D7" s="38"/>
      <c r="E7" s="38"/>
    </row>
    <row r="8" spans="1:5" ht="39" customHeight="1" x14ac:dyDescent="0.15">
      <c r="A8" s="6" t="s">
        <v>230</v>
      </c>
      <c r="B8" s="7" t="s">
        <v>231</v>
      </c>
      <c r="C8" s="6" t="s">
        <v>181</v>
      </c>
      <c r="D8" s="7"/>
      <c r="E8" s="7"/>
    </row>
    <row r="9" spans="1:5" ht="26" customHeight="1" x14ac:dyDescent="0.15">
      <c r="A9" s="6" t="s">
        <v>232</v>
      </c>
      <c r="B9" s="7" t="s">
        <v>233</v>
      </c>
      <c r="C9" s="40" t="s">
        <v>184</v>
      </c>
      <c r="D9" s="7"/>
      <c r="E9" s="7"/>
    </row>
    <row r="10" spans="1:5" x14ac:dyDescent="0.15">
      <c r="A10" s="36" t="s">
        <v>234</v>
      </c>
      <c r="B10" s="37"/>
      <c r="C10" s="39"/>
      <c r="D10" s="38"/>
      <c r="E10" s="38"/>
    </row>
    <row r="11" spans="1:5" ht="68" customHeight="1" x14ac:dyDescent="0.15">
      <c r="A11" s="6" t="s">
        <v>235</v>
      </c>
      <c r="B11" s="7" t="s">
        <v>236</v>
      </c>
      <c r="C11" s="40" t="s">
        <v>184</v>
      </c>
      <c r="D11" s="7"/>
      <c r="E11" s="7" t="s">
        <v>237</v>
      </c>
    </row>
    <row r="12" spans="1:5" ht="39" customHeight="1" x14ac:dyDescent="0.15">
      <c r="A12" s="6" t="s">
        <v>238</v>
      </c>
      <c r="B12" s="7" t="s">
        <v>276</v>
      </c>
      <c r="C12" s="40" t="s">
        <v>184</v>
      </c>
      <c r="D12" s="7"/>
      <c r="E12" s="7"/>
    </row>
    <row r="13" spans="1:5" ht="70" x14ac:dyDescent="0.15">
      <c r="A13" s="6" t="s">
        <v>272</v>
      </c>
      <c r="B13" s="7" t="s">
        <v>71</v>
      </c>
      <c r="C13" s="40" t="s">
        <v>184</v>
      </c>
      <c r="D13" s="7"/>
      <c r="E13" s="7"/>
    </row>
    <row r="14" spans="1:5" x14ac:dyDescent="0.15">
      <c r="A14" s="36" t="s">
        <v>239</v>
      </c>
      <c r="B14" s="37"/>
      <c r="C14" s="39"/>
      <c r="D14" s="38"/>
      <c r="E14" s="38"/>
    </row>
    <row r="15" spans="1:5" x14ac:dyDescent="0.15">
      <c r="A15" s="6" t="s">
        <v>240</v>
      </c>
      <c r="B15" s="7" t="s">
        <v>241</v>
      </c>
      <c r="C15" s="40" t="s">
        <v>184</v>
      </c>
      <c r="D15" s="7"/>
      <c r="E15" s="7"/>
    </row>
    <row r="16" spans="1:5" x14ac:dyDescent="0.15">
      <c r="A16" s="36" t="s">
        <v>261</v>
      </c>
      <c r="B16" s="37"/>
      <c r="C16" s="39"/>
      <c r="D16" s="38"/>
      <c r="E16" s="38"/>
    </row>
    <row r="17" spans="1:5" ht="65" customHeight="1" x14ac:dyDescent="0.15">
      <c r="A17" s="6" t="s">
        <v>242</v>
      </c>
      <c r="B17" s="7" t="s">
        <v>243</v>
      </c>
      <c r="C17" s="40" t="s">
        <v>184</v>
      </c>
      <c r="D17" s="7"/>
      <c r="E17" s="7"/>
    </row>
    <row r="18" spans="1:5" x14ac:dyDescent="0.15">
      <c r="A18" s="36" t="s">
        <v>244</v>
      </c>
      <c r="B18" s="37"/>
      <c r="C18" s="39"/>
      <c r="D18" s="38"/>
      <c r="E18" s="38"/>
    </row>
    <row r="19" spans="1:5" ht="26" customHeight="1" x14ac:dyDescent="0.15">
      <c r="A19" s="6" t="s">
        <v>245</v>
      </c>
      <c r="B19" s="7" t="s">
        <v>246</v>
      </c>
      <c r="C19" s="40" t="s">
        <v>184</v>
      </c>
      <c r="D19" s="7"/>
      <c r="E19" s="7"/>
    </row>
    <row r="20" spans="1:5" ht="26" customHeight="1" x14ac:dyDescent="0.15">
      <c r="A20" s="6" t="s">
        <v>247</v>
      </c>
      <c r="B20" s="7" t="s">
        <v>248</v>
      </c>
      <c r="C20" s="40" t="s">
        <v>184</v>
      </c>
      <c r="D20" s="7"/>
      <c r="E20" s="7"/>
    </row>
  </sheetData>
  <mergeCells count="2">
    <mergeCell ref="A1:D1"/>
    <mergeCell ref="A2:D2"/>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4"/>
  <sheetViews>
    <sheetView showGridLines="0" zoomScale="130" zoomScaleNormal="130" workbookViewId="0">
      <pane ySplit="3" topLeftCell="A17" activePane="bottomLeft" state="frozen"/>
      <selection pane="bottomLeft" activeCell="D15" sqref="D15"/>
    </sheetView>
  </sheetViews>
  <sheetFormatPr baseColWidth="10" defaultColWidth="8.6640625" defaultRowHeight="14" x14ac:dyDescent="0.15"/>
  <cols>
    <col min="1" max="1" width="6" style="1" customWidth="1"/>
    <col min="2" max="2" width="26" style="1" customWidth="1"/>
    <col min="3" max="3" width="52" style="1" customWidth="1"/>
    <col min="4" max="4" width="26.5" style="1" customWidth="1"/>
    <col min="5" max="5" width="14" style="1" customWidth="1"/>
    <col min="6" max="6" width="22" style="1" customWidth="1"/>
    <col min="7" max="7" width="8.6640625" style="1" customWidth="1"/>
    <col min="8" max="8" width="17.83203125" style="43" customWidth="1"/>
    <col min="9" max="9" width="47.6640625" style="43" customWidth="1"/>
    <col min="10" max="10" width="8.6640625" style="1" customWidth="1"/>
    <col min="11" max="16384" width="8.6640625" style="1"/>
  </cols>
  <sheetData>
    <row r="1" spans="1:9" ht="26" customHeight="1" x14ac:dyDescent="0.15">
      <c r="A1" s="52" t="s">
        <v>0</v>
      </c>
      <c r="B1" s="51"/>
      <c r="C1" s="51"/>
      <c r="D1" s="51"/>
      <c r="E1" s="51"/>
      <c r="F1" s="51"/>
    </row>
    <row r="2" spans="1:9" x14ac:dyDescent="0.15">
      <c r="A2" s="61" t="s">
        <v>1</v>
      </c>
      <c r="B2" s="51"/>
      <c r="C2" s="51"/>
      <c r="D2" s="51"/>
      <c r="E2" s="51"/>
      <c r="F2" s="51"/>
    </row>
    <row r="3" spans="1:9" ht="15" x14ac:dyDescent="0.15">
      <c r="A3" s="41" t="s">
        <v>2</v>
      </c>
      <c r="B3" s="41" t="s">
        <v>3</v>
      </c>
      <c r="C3" s="41" t="s">
        <v>4</v>
      </c>
      <c r="D3" s="41" t="s">
        <v>5</v>
      </c>
      <c r="E3" s="41" t="s">
        <v>6</v>
      </c>
      <c r="F3" s="41" t="s">
        <v>7</v>
      </c>
      <c r="H3" s="46" t="s">
        <v>6</v>
      </c>
      <c r="I3" s="46" t="s">
        <v>8</v>
      </c>
    </row>
    <row r="4" spans="1:9" ht="28" customHeight="1" x14ac:dyDescent="0.15">
      <c r="A4" s="42" t="s">
        <v>9</v>
      </c>
      <c r="B4" s="47"/>
      <c r="C4" s="47"/>
      <c r="D4" s="47"/>
      <c r="E4" s="47"/>
      <c r="F4" s="48"/>
      <c r="H4" s="45" t="s">
        <v>10</v>
      </c>
      <c r="I4" s="44" t="s">
        <v>11</v>
      </c>
    </row>
    <row r="5" spans="1:9" ht="52" customHeight="1" x14ac:dyDescent="0.15">
      <c r="A5" s="6">
        <v>1</v>
      </c>
      <c r="B5" s="33" t="s">
        <v>12</v>
      </c>
      <c r="C5" s="33" t="s">
        <v>13</v>
      </c>
      <c r="D5" s="33" t="s">
        <v>14</v>
      </c>
      <c r="E5" s="33"/>
      <c r="F5" s="33"/>
      <c r="H5" s="45" t="s">
        <v>15</v>
      </c>
      <c r="I5" s="44" t="s">
        <v>16</v>
      </c>
    </row>
    <row r="6" spans="1:9" ht="30" x14ac:dyDescent="0.15">
      <c r="A6" s="6">
        <v>2</v>
      </c>
      <c r="B6" s="33" t="s">
        <v>17</v>
      </c>
      <c r="C6" s="33" t="s">
        <v>255</v>
      </c>
      <c r="D6" s="33" t="s">
        <v>18</v>
      </c>
      <c r="E6" s="33"/>
      <c r="F6" s="33"/>
      <c r="H6" s="45" t="s">
        <v>19</v>
      </c>
      <c r="I6" s="44" t="s">
        <v>20</v>
      </c>
    </row>
    <row r="7" spans="1:9" ht="42" customHeight="1" x14ac:dyDescent="0.15">
      <c r="A7" s="6">
        <v>3</v>
      </c>
      <c r="B7" s="33" t="s">
        <v>21</v>
      </c>
      <c r="C7" s="33" t="s">
        <v>22</v>
      </c>
      <c r="D7" s="33" t="s">
        <v>256</v>
      </c>
      <c r="E7" s="33"/>
      <c r="F7" s="33"/>
      <c r="H7" s="45" t="s">
        <v>23</v>
      </c>
      <c r="I7" s="44" t="s">
        <v>24</v>
      </c>
    </row>
    <row r="8" spans="1:9" ht="26" customHeight="1" x14ac:dyDescent="0.15">
      <c r="A8" s="6">
        <v>4</v>
      </c>
      <c r="B8" s="33" t="s">
        <v>25</v>
      </c>
      <c r="C8" s="33" t="s">
        <v>258</v>
      </c>
      <c r="D8" s="33" t="s">
        <v>26</v>
      </c>
      <c r="E8" s="33" t="s">
        <v>10</v>
      </c>
      <c r="F8" s="33"/>
    </row>
    <row r="9" spans="1:9" ht="26" customHeight="1" x14ac:dyDescent="0.15">
      <c r="A9" s="6">
        <v>5</v>
      </c>
      <c r="B9" s="33" t="s">
        <v>27</v>
      </c>
      <c r="C9" s="33" t="s">
        <v>257</v>
      </c>
      <c r="D9" s="33" t="s">
        <v>28</v>
      </c>
      <c r="E9" s="33"/>
      <c r="F9" s="33"/>
    </row>
    <row r="10" spans="1:9" x14ac:dyDescent="0.15">
      <c r="A10" s="42" t="s">
        <v>29</v>
      </c>
      <c r="B10" s="47"/>
      <c r="C10" s="47"/>
      <c r="D10" s="47"/>
      <c r="E10" s="47"/>
      <c r="F10" s="48"/>
    </row>
    <row r="11" spans="1:9" ht="28" x14ac:dyDescent="0.15">
      <c r="A11" s="6">
        <v>6</v>
      </c>
      <c r="B11" s="33" t="s">
        <v>30</v>
      </c>
      <c r="C11" s="33" t="s">
        <v>259</v>
      </c>
      <c r="D11" s="33" t="s">
        <v>31</v>
      </c>
      <c r="E11" s="33"/>
      <c r="F11" s="33"/>
    </row>
    <row r="12" spans="1:9" ht="26" customHeight="1" x14ac:dyDescent="0.15">
      <c r="A12" s="6">
        <v>7</v>
      </c>
      <c r="B12" s="33" t="s">
        <v>32</v>
      </c>
      <c r="C12" s="33" t="s">
        <v>33</v>
      </c>
      <c r="D12" s="33" t="s">
        <v>34</v>
      </c>
      <c r="E12" s="33"/>
      <c r="F12" s="33"/>
    </row>
    <row r="13" spans="1:9" ht="26" customHeight="1" x14ac:dyDescent="0.15">
      <c r="A13" s="6">
        <v>8</v>
      </c>
      <c r="B13" s="33" t="s">
        <v>35</v>
      </c>
      <c r="C13" s="33" t="s">
        <v>260</v>
      </c>
      <c r="D13" s="33" t="s">
        <v>36</v>
      </c>
      <c r="E13" s="33"/>
      <c r="F13" s="33"/>
    </row>
    <row r="14" spans="1:9" x14ac:dyDescent="0.15">
      <c r="A14" s="42" t="s">
        <v>37</v>
      </c>
      <c r="B14" s="47"/>
      <c r="C14" s="47"/>
      <c r="D14" s="47"/>
      <c r="E14" s="47"/>
      <c r="F14" s="48"/>
    </row>
    <row r="15" spans="1:9" ht="78" customHeight="1" x14ac:dyDescent="0.15">
      <c r="A15" s="6">
        <v>9</v>
      </c>
      <c r="B15" s="33" t="s">
        <v>38</v>
      </c>
      <c r="C15" s="33" t="s">
        <v>39</v>
      </c>
      <c r="D15" s="33" t="s">
        <v>40</v>
      </c>
      <c r="E15" s="33"/>
      <c r="F15" s="33"/>
    </row>
    <row r="16" spans="1:9" ht="65" customHeight="1" x14ac:dyDescent="0.15">
      <c r="A16" s="6">
        <v>10</v>
      </c>
      <c r="B16" s="33" t="s">
        <v>41</v>
      </c>
      <c r="C16" s="33" t="s">
        <v>42</v>
      </c>
      <c r="D16" s="33" t="s">
        <v>43</v>
      </c>
      <c r="E16" s="33"/>
      <c r="F16" s="33"/>
    </row>
    <row r="17" spans="1:6" ht="65" customHeight="1" x14ac:dyDescent="0.15">
      <c r="A17" s="6">
        <v>11</v>
      </c>
      <c r="B17" s="33" t="s">
        <v>44</v>
      </c>
      <c r="C17" s="33" t="s">
        <v>45</v>
      </c>
      <c r="D17" s="33" t="s">
        <v>46</v>
      </c>
      <c r="E17" s="33"/>
      <c r="F17" s="33"/>
    </row>
    <row r="18" spans="1:6" ht="65" customHeight="1" x14ac:dyDescent="0.15">
      <c r="A18" s="6">
        <v>12</v>
      </c>
      <c r="B18" s="33" t="s">
        <v>47</v>
      </c>
      <c r="C18" s="33" t="s">
        <v>48</v>
      </c>
      <c r="D18" s="33" t="s">
        <v>262</v>
      </c>
      <c r="E18" s="33"/>
      <c r="F18" s="33"/>
    </row>
    <row r="19" spans="1:6" x14ac:dyDescent="0.15">
      <c r="A19" s="42" t="s">
        <v>49</v>
      </c>
      <c r="B19" s="47"/>
      <c r="C19" s="47"/>
      <c r="D19" s="47"/>
      <c r="E19" s="47"/>
      <c r="F19" s="48"/>
    </row>
    <row r="20" spans="1:6" ht="91" customHeight="1" x14ac:dyDescent="0.15">
      <c r="A20" s="6">
        <v>13</v>
      </c>
      <c r="B20" s="33" t="s">
        <v>50</v>
      </c>
      <c r="C20" s="33" t="s">
        <v>263</v>
      </c>
      <c r="D20" s="33" t="s">
        <v>264</v>
      </c>
      <c r="E20" s="33"/>
      <c r="F20" s="33"/>
    </row>
    <row r="21" spans="1:6" ht="42" x14ac:dyDescent="0.15">
      <c r="A21" s="6">
        <v>14</v>
      </c>
      <c r="B21" s="33" t="s">
        <v>51</v>
      </c>
      <c r="C21" s="33" t="s">
        <v>265</v>
      </c>
      <c r="D21" s="33" t="s">
        <v>52</v>
      </c>
      <c r="E21" s="33"/>
      <c r="F21" s="33"/>
    </row>
    <row r="22" spans="1:6" ht="26" customHeight="1" x14ac:dyDescent="0.15">
      <c r="A22" s="6">
        <v>15</v>
      </c>
      <c r="B22" s="33" t="s">
        <v>53</v>
      </c>
      <c r="C22" s="33" t="s">
        <v>266</v>
      </c>
      <c r="D22" s="33" t="s">
        <v>54</v>
      </c>
      <c r="E22" s="33"/>
      <c r="F22" s="33"/>
    </row>
    <row r="23" spans="1:6" x14ac:dyDescent="0.15">
      <c r="A23" s="42" t="s">
        <v>55</v>
      </c>
      <c r="B23" s="47"/>
      <c r="C23" s="47"/>
      <c r="D23" s="47"/>
      <c r="E23" s="47"/>
      <c r="F23" s="48"/>
    </row>
    <row r="24" spans="1:6" ht="78" customHeight="1" x14ac:dyDescent="0.15">
      <c r="A24" s="6">
        <v>16</v>
      </c>
      <c r="B24" s="33" t="s">
        <v>56</v>
      </c>
      <c r="C24" s="33" t="s">
        <v>267</v>
      </c>
      <c r="D24" s="33" t="s">
        <v>57</v>
      </c>
      <c r="E24" s="33"/>
      <c r="F24" s="33"/>
    </row>
    <row r="25" spans="1:6" ht="91" customHeight="1" x14ac:dyDescent="0.15">
      <c r="A25" s="6">
        <v>17</v>
      </c>
      <c r="B25" s="33" t="s">
        <v>58</v>
      </c>
      <c r="C25" s="33" t="s">
        <v>268</v>
      </c>
      <c r="D25" s="33" t="s">
        <v>59</v>
      </c>
      <c r="E25" s="33"/>
      <c r="F25" s="33"/>
    </row>
    <row r="26" spans="1:6" ht="52" customHeight="1" x14ac:dyDescent="0.15">
      <c r="A26" s="6">
        <v>18</v>
      </c>
      <c r="B26" s="33" t="s">
        <v>60</v>
      </c>
      <c r="C26" s="33" t="s">
        <v>61</v>
      </c>
      <c r="D26" s="33" t="s">
        <v>62</v>
      </c>
      <c r="E26" s="33"/>
      <c r="F26" s="33"/>
    </row>
    <row r="27" spans="1:6" ht="52" customHeight="1" x14ac:dyDescent="0.15">
      <c r="A27" s="6">
        <v>19</v>
      </c>
      <c r="B27" s="33" t="s">
        <v>63</v>
      </c>
      <c r="C27" s="33" t="s">
        <v>269</v>
      </c>
      <c r="D27" s="33" t="s">
        <v>64</v>
      </c>
      <c r="E27" s="33"/>
      <c r="F27" s="33" t="s">
        <v>270</v>
      </c>
    </row>
    <row r="28" spans="1:6" ht="52" customHeight="1" x14ac:dyDescent="0.15">
      <c r="A28" s="6">
        <v>20</v>
      </c>
      <c r="B28" s="33" t="s">
        <v>65</v>
      </c>
      <c r="C28" s="33" t="s">
        <v>271</v>
      </c>
      <c r="D28" s="33" t="s">
        <v>66</v>
      </c>
      <c r="E28" s="33"/>
      <c r="F28" s="33"/>
    </row>
    <row r="29" spans="1:6" ht="78" customHeight="1" x14ac:dyDescent="0.15">
      <c r="A29" s="6">
        <v>21</v>
      </c>
      <c r="B29" s="33" t="s">
        <v>67</v>
      </c>
      <c r="C29" s="33" t="s">
        <v>68</v>
      </c>
      <c r="D29" s="33" t="s">
        <v>69</v>
      </c>
      <c r="E29" s="33"/>
      <c r="F29" s="33"/>
    </row>
    <row r="30" spans="1:6" x14ac:dyDescent="0.15">
      <c r="A30" s="42" t="s">
        <v>70</v>
      </c>
      <c r="B30" s="47"/>
      <c r="C30" s="47"/>
      <c r="D30" s="47"/>
      <c r="E30" s="47"/>
      <c r="F30" s="48"/>
    </row>
    <row r="31" spans="1:6" ht="78" customHeight="1" x14ac:dyDescent="0.15">
      <c r="A31" s="6">
        <v>22</v>
      </c>
      <c r="B31" s="33" t="s">
        <v>72</v>
      </c>
      <c r="C31" s="33" t="s">
        <v>273</v>
      </c>
      <c r="D31" s="33" t="s">
        <v>73</v>
      </c>
      <c r="E31" s="33"/>
      <c r="F31" s="33"/>
    </row>
    <row r="32" spans="1:6" ht="56" x14ac:dyDescent="0.15">
      <c r="A32" s="6">
        <v>23</v>
      </c>
      <c r="B32" s="33" t="s">
        <v>74</v>
      </c>
      <c r="C32" s="33" t="s">
        <v>274</v>
      </c>
      <c r="D32" s="33" t="s">
        <v>75</v>
      </c>
      <c r="E32" s="33"/>
      <c r="F32" s="33"/>
    </row>
    <row r="33" spans="1:6" ht="78" customHeight="1" x14ac:dyDescent="0.15">
      <c r="A33" s="6">
        <v>23</v>
      </c>
      <c r="B33" s="33" t="s">
        <v>76</v>
      </c>
      <c r="C33" s="33" t="s">
        <v>77</v>
      </c>
      <c r="D33" s="33" t="s">
        <v>78</v>
      </c>
      <c r="E33" s="33"/>
      <c r="F33" s="33"/>
    </row>
    <row r="34" spans="1:6" ht="78" customHeight="1" x14ac:dyDescent="0.15">
      <c r="A34" s="6">
        <f t="shared" ref="A34" si="0">A33+1</f>
        <v>24</v>
      </c>
      <c r="B34" s="33" t="s">
        <v>79</v>
      </c>
      <c r="C34" s="33" t="s">
        <v>275</v>
      </c>
      <c r="D34" s="33" t="s">
        <v>80</v>
      </c>
      <c r="E34" s="33"/>
      <c r="F34" s="33"/>
    </row>
  </sheetData>
  <mergeCells count="2">
    <mergeCell ref="A2:F2"/>
    <mergeCell ref="A1:F1"/>
  </mergeCells>
  <conditionalFormatting sqref="E5:E9 E31:E34">
    <cfRule type="cellIs" dxfId="24" priority="30" operator="equal">
      <formula>"Không chấp nhận"</formula>
    </cfRule>
    <cfRule type="cellIs" dxfId="23" priority="29" operator="equal">
      <formula>"Thấp"</formula>
    </cfRule>
    <cfRule type="cellIs" dxfId="22" priority="28" operator="equal">
      <formula>"Trung bình"</formula>
    </cfRule>
    <cfRule type="cellIs" dxfId="21" priority="27" operator="equal">
      <formula>"Cao"</formula>
    </cfRule>
    <cfRule type="cellIs" dxfId="20" priority="26" operator="equal">
      <formula>"Không chấp nhận"</formula>
    </cfRule>
  </conditionalFormatting>
  <conditionalFormatting sqref="E11:E13">
    <cfRule type="cellIs" dxfId="19" priority="25" operator="equal">
      <formula>"Không chấp nhận"</formula>
    </cfRule>
    <cfRule type="cellIs" dxfId="18" priority="24" operator="equal">
      <formula>"Thấp"</formula>
    </cfRule>
    <cfRule type="cellIs" dxfId="17" priority="23" operator="equal">
      <formula>"Trung bình"</formula>
    </cfRule>
    <cfRule type="cellIs" dxfId="16" priority="22" operator="equal">
      <formula>"Cao"</formula>
    </cfRule>
    <cfRule type="cellIs" dxfId="15" priority="21" operator="equal">
      <formula>"Không chấp nhận"</formula>
    </cfRule>
  </conditionalFormatting>
  <conditionalFormatting sqref="E15:E18">
    <cfRule type="cellIs" dxfId="14" priority="18" operator="equal">
      <formula>"Trung bình"</formula>
    </cfRule>
    <cfRule type="cellIs" dxfId="13" priority="17" operator="equal">
      <formula>"Cao"</formula>
    </cfRule>
    <cfRule type="cellIs" dxfId="12" priority="16" operator="equal">
      <formula>"Không chấp nhận"</formula>
    </cfRule>
    <cfRule type="cellIs" dxfId="11" priority="19" operator="equal">
      <formula>"Thấp"</formula>
    </cfRule>
    <cfRule type="cellIs" dxfId="10" priority="20" operator="equal">
      <formula>"Không chấp nhận"</formula>
    </cfRule>
  </conditionalFormatting>
  <conditionalFormatting sqref="E20:E22">
    <cfRule type="cellIs" dxfId="9" priority="15" operator="equal">
      <formula>"Không chấp nhận"</formula>
    </cfRule>
    <cfRule type="cellIs" dxfId="8" priority="14" operator="equal">
      <formula>"Thấp"</formula>
    </cfRule>
    <cfRule type="cellIs" dxfId="7" priority="13" operator="equal">
      <formula>"Trung bình"</formula>
    </cfRule>
    <cfRule type="cellIs" dxfId="6" priority="12" operator="equal">
      <formula>"Cao"</formula>
    </cfRule>
    <cfRule type="cellIs" dxfId="5" priority="11" operator="equal">
      <formula>"Không chấp nhận"</formula>
    </cfRule>
  </conditionalFormatting>
  <conditionalFormatting sqref="E24:E29">
    <cfRule type="cellIs" dxfId="4" priority="10" operator="equal">
      <formula>"Không chấp nhận"</formula>
    </cfRule>
    <cfRule type="cellIs" dxfId="3" priority="9" operator="equal">
      <formula>"Thấp"</formula>
    </cfRule>
    <cfRule type="cellIs" dxfId="2" priority="8" operator="equal">
      <formula>"Trung bình"</formula>
    </cfRule>
    <cfRule type="cellIs" dxfId="1" priority="7" operator="equal">
      <formula>"Cao"</formula>
    </cfRule>
    <cfRule type="cellIs" dxfId="0" priority="6" operator="equal">
      <formula>"Không chấp nhận"</formula>
    </cfRule>
  </conditionalFormatting>
  <dataValidations count="1">
    <dataValidation type="list" allowBlank="1" showInputMessage="1" showErrorMessage="1" sqref="E5:E9 E11:E13 E15:E18 E20:E22 E24:E29 E31:E34" xr:uid="{00000000-0002-0000-0400-000000000000}">
      <formula1>"Không chấp nhận, Thấp, Trung bình, Cao"</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showGridLines="0" workbookViewId="0">
      <pane ySplit="3" topLeftCell="A4" activePane="bottomLeft" state="frozen"/>
      <selection pane="bottomLeft" activeCell="G7" sqref="G7"/>
    </sheetView>
  </sheetViews>
  <sheetFormatPr baseColWidth="10" defaultColWidth="8.6640625" defaultRowHeight="14" x14ac:dyDescent="0.15"/>
  <cols>
    <col min="1" max="1" width="26" style="1" customWidth="1"/>
    <col min="2" max="2" width="8" style="1" customWidth="1"/>
    <col min="3" max="3" width="18" style="1" customWidth="1"/>
    <col min="4" max="4" width="44" style="1" customWidth="1"/>
    <col min="5" max="5" width="16" style="1" customWidth="1"/>
    <col min="6" max="16384" width="8.6640625" style="1"/>
  </cols>
  <sheetData>
    <row r="1" spans="1:5" ht="26" customHeight="1" x14ac:dyDescent="0.15">
      <c r="A1" s="52" t="s">
        <v>249</v>
      </c>
      <c r="B1" s="51"/>
      <c r="C1" s="51"/>
      <c r="D1" s="51"/>
      <c r="E1" s="51"/>
    </row>
    <row r="2" spans="1:5" ht="32" customHeight="1" x14ac:dyDescent="0.15">
      <c r="A2" s="50" t="s">
        <v>250</v>
      </c>
      <c r="B2" s="51"/>
      <c r="C2" s="51"/>
      <c r="D2" s="51"/>
      <c r="E2" s="51"/>
    </row>
    <row r="3" spans="1:5" ht="26" customHeight="1" x14ac:dyDescent="0.15">
      <c r="A3" s="49" t="s">
        <v>3</v>
      </c>
      <c r="B3" s="49" t="s">
        <v>251</v>
      </c>
      <c r="C3" s="49" t="s">
        <v>252</v>
      </c>
      <c r="D3" s="49" t="s">
        <v>253</v>
      </c>
    </row>
    <row r="4" spans="1:5" ht="30" customHeight="1" x14ac:dyDescent="0.15">
      <c r="A4" s="12" t="s">
        <v>254</v>
      </c>
      <c r="B4" s="7"/>
      <c r="C4" s="7" t="s">
        <v>254</v>
      </c>
      <c r="D4" s="7"/>
    </row>
    <row r="5" spans="1:5" ht="30" customHeight="1" x14ac:dyDescent="0.15">
      <c r="A5" s="12" t="s">
        <v>254</v>
      </c>
      <c r="B5" s="7"/>
      <c r="C5" s="7" t="s">
        <v>254</v>
      </c>
      <c r="D5" s="7"/>
    </row>
    <row r="6" spans="1:5" ht="30" customHeight="1" x14ac:dyDescent="0.15">
      <c r="A6" s="12" t="s">
        <v>254</v>
      </c>
      <c r="B6" s="7"/>
      <c r="C6" s="7" t="s">
        <v>254</v>
      </c>
      <c r="D6" s="7"/>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TÓM TẮT CHIẾN LƯỢC</vt:lpstr>
      <vt:lpstr>0. Đối tượng phỏng vấn</vt:lpstr>
      <vt:lpstr>A - Phỏng vấn P.Chiến lược</vt:lpstr>
      <vt:lpstr>B - Ban TGĐ</vt:lpstr>
      <vt:lpstr>C - KVRR gắn với domain</vt:lpstr>
      <vt:lpstr>TỔNG HỢP KẾT QUẢ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Nhan Vu</cp:lastModifiedBy>
  <dcterms:created xsi:type="dcterms:W3CDTF">2026-08-24T04:59:52Z</dcterms:created>
  <dcterms:modified xsi:type="dcterms:W3CDTF">2026-08-24T12:59:32Z</dcterms:modified>
</cp:coreProperties>
</file>