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mc:AlternateContent xmlns:mc="http://schemas.openxmlformats.org/markup-compatibility/2006">
    <mc:Choice Requires="x15">
      <x15ac:absPath xmlns:x15ac="http://schemas.microsoft.com/office/spreadsheetml/2010/11/ac" url="/Users/nhanvu/Library/CloudStorage/GoogleDrive-nhanvu1480@gmail.com/My Drive/BrainVault/_attachments/QTRR/ERM/Ban KSNB/"/>
    </mc:Choice>
  </mc:AlternateContent>
  <xr:revisionPtr revIDLastSave="0" documentId="13_ncr:1_{54E86A84-599B-DA42-9E37-C61CD77E6714}" xr6:coauthVersionLast="47" xr6:coauthVersionMax="47" xr10:uidLastSave="{00000000-0000-0000-0000-000000000000}"/>
  <bookViews>
    <workbookView xWindow="0" yWindow="660" windowWidth="29400" windowHeight="17340" activeTab="1" xr2:uid="{00000000-000D-0000-FFFF-FFFF00000000}"/>
  </bookViews>
  <sheets>
    <sheet name="Timeline chi tiết" sheetId="1" r:id="rId1"/>
    <sheet name="Kế hoạch chi tiết" sheetId="5" r:id="rId2"/>
  </sheets>
  <definedNames>
    <definedName name="_xlnm._FilterDatabase" localSheetId="0" hidden="1">'Timeline chi tiết'!$B$7:$BP$7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phuongptn3</author>
  </authors>
  <commentList>
    <comment ref="G12" authorId="0" shapeId="0" xr:uid="{00000000-0006-0000-0100-000001000000}">
      <text>
        <r>
          <rPr>
            <b/>
            <sz val="9"/>
            <color indexed="81"/>
            <rFont val="Tahoma"/>
            <family val="2"/>
          </rPr>
          <t>phuongptn3:</t>
        </r>
        <r>
          <rPr>
            <sz val="9"/>
            <color indexed="81"/>
            <rFont val="Tahoma"/>
            <family val="2"/>
          </rPr>
          <t xml:space="preserve">
Hơi phân vân về VB của BKS thì ai là ai dự thảo ban hành?</t>
        </r>
      </text>
    </comment>
  </commentList>
</comments>
</file>

<file path=xl/sharedStrings.xml><?xml version="1.0" encoding="utf-8"?>
<sst xmlns="http://schemas.openxmlformats.org/spreadsheetml/2006/main" count="700" uniqueCount="510">
  <si>
    <t>KẾ HOẠCH XÂY DỰNG &amp; TRIỂN KHAI QUẢN TRỊ RỦI RO (QTRR) TẠI VDS — LỘ TRÌNH 18 THÁNG</t>
  </si>
  <si>
    <t>Giai đoạn / Cấu phần</t>
  </si>
  <si>
    <t>T1</t>
  </si>
  <si>
    <t>T2</t>
  </si>
  <si>
    <t>T3</t>
  </si>
  <si>
    <t>T4</t>
  </si>
  <si>
    <t>T5</t>
  </si>
  <si>
    <t>T6</t>
  </si>
  <si>
    <t>T7</t>
  </si>
  <si>
    <t>T8</t>
  </si>
  <si>
    <t>T9</t>
  </si>
  <si>
    <t>T10</t>
  </si>
  <si>
    <t>T11</t>
  </si>
  <si>
    <t>T12</t>
  </si>
  <si>
    <t>T13</t>
  </si>
  <si>
    <t>T14</t>
  </si>
  <si>
    <t>GIAI ĐOẠN A — KHỞI ĐỘNG &amp; PHÊ DUYỆT CHƯƠNG TRÌNH</t>
  </si>
  <si>
    <t>1. Xây dựng Chương trình/Đề án triển khai QTRR</t>
  </si>
  <si>
    <t>2. Trình Ban Giám đốc phê duyệt Chương trình</t>
  </si>
  <si>
    <t>Start</t>
  </si>
  <si>
    <t>End</t>
  </si>
  <si>
    <t>PIC</t>
  </si>
  <si>
    <t>VDS-QTRR</t>
  </si>
  <si>
    <t>«</t>
  </si>
  <si>
    <t>T8/2026</t>
  </si>
  <si>
    <t>T9/2026</t>
  </si>
  <si>
    <t>T10/2026</t>
  </si>
  <si>
    <t>T11/2026</t>
  </si>
  <si>
    <t>T12/2026</t>
  </si>
  <si>
    <t>T1/2027</t>
  </si>
  <si>
    <t>A.  KẾ HOẠCH CHI TIẾT</t>
  </si>
  <si>
    <t>T2/2027</t>
  </si>
  <si>
    <t>T3/2027</t>
  </si>
  <si>
    <t>T4/2027</t>
  </si>
  <si>
    <t>T5/2027</t>
  </si>
  <si>
    <t>T6/2027</t>
  </si>
  <si>
    <t>T7/2027</t>
  </si>
  <si>
    <t>T8/2027</t>
  </si>
  <si>
    <t>W1</t>
  </si>
  <si>
    <t>W2</t>
  </si>
  <si>
    <t>W3</t>
  </si>
  <si>
    <t>W4</t>
  </si>
  <si>
    <t>T9/2027</t>
  </si>
  <si>
    <t>T10/2027</t>
  </si>
  <si>
    <r>
      <t xml:space="preserve">« </t>
    </r>
    <r>
      <rPr>
        <sz val="11"/>
        <rFont val="Calibri"/>
        <family val="2"/>
        <scheme val="minor"/>
      </rPr>
      <t>Mốc không được vi phạm</t>
    </r>
  </si>
  <si>
    <t>Đầu ra kỳ vọng</t>
  </si>
  <si>
    <t>VDS hoàn thành dự thảo bao gồm mục tiêu, phạm vi chương trình và kế hoạch triển khai cụ thể</t>
  </si>
  <si>
    <t>Hoàn thành xây dựng đề án phù hợp với định hướng QTRR của Tập đoàn và thực tiễn tại VDS</t>
  </si>
  <si>
    <t>Điều kiện đầu vào</t>
  </si>
  <si>
    <t>Quản lý dự án</t>
  </si>
  <si>
    <t xml:space="preserve">1.2. Soạn thảo dự thảo Đề án </t>
  </si>
  <si>
    <t>2.1. Trình BGĐ phê duyệt Đề án, lộ trình, nguồn lực &amp; ngân sách</t>
  </si>
  <si>
    <t>KẾ HOẠCH CHI TIẾT THEO TỪNG BƯỚC TRIỂN KHAI QTRR — CHI TIẾT HOÁ TRÁCH NHIỆM THEO TỪNG ĐẦU VIỆC</t>
  </si>
  <si>
    <t>Hành động (nhóm việc)</t>
  </si>
  <si>
    <t>Công việc chi tiết</t>
  </si>
  <si>
    <t>Thời gian dự kiến</t>
  </si>
  <si>
    <t>Ghi chú</t>
  </si>
  <si>
    <t>Xây dựng Chương trình/Đề án triển khai QTRR</t>
  </si>
  <si>
    <t>Đánh giá hiện trạng &amp; mức độ trưởng thành QTRR tại VDS, lập báo cáo đánh giá.</t>
  </si>
  <si>
    <t>BP.QTRR</t>
  </si>
  <si>
    <t>—</t>
  </si>
  <si>
    <t>Trình Ban Giám đốc phê duyệt Chương trình</t>
  </si>
  <si>
    <t>BGĐ</t>
  </si>
  <si>
    <t>3.1</t>
  </si>
  <si>
    <t>Bước 2</t>
  </si>
  <si>
    <t>3.2</t>
  </si>
  <si>
    <t>Đào tạo nhận thức (nhập môn) &amp; truyền thông khởi động</t>
  </si>
  <si>
    <t>Bộ tài liệu đào tạo nhập môn</t>
  </si>
  <si>
    <t>Bước 9, 10</t>
  </si>
  <si>
    <t>Bảng định nghĩa KRI có nguồn dữ liệu xác định</t>
  </si>
  <si>
    <t>CNTT</t>
  </si>
  <si>
    <t>Xác định ưu tiên: chỉ vài hệ thống/quy trình trọng yếu nhất trước — đặc biệt thanh toán/Mobile Money (downtime = mất tiền trực tiếp).</t>
  </si>
  <si>
    <t>CNTT, đơn vị nghiệp vụ</t>
  </si>
  <si>
    <t>Mang tính chuyên môn đặc thù, tách nhánh riêng</t>
  </si>
  <si>
    <t>Phân tích tác động kinh doanh (BIA) → xác định RTO/RPO cho từng hệ thống/quy trình.</t>
  </si>
  <si>
    <t>CNTT, các đơn vị nghiệp vụ trọng yếu</t>
  </si>
  <si>
    <t>Báo cáo BIA + RTO/RPO</t>
  </si>
  <si>
    <t>Xây chiến lược khôi phục → viết Kế hoạch BCP/DRP.</t>
  </si>
  <si>
    <t>Đối chiếu Quy trình QT.VDS.CNTT.05 &amp; hệ thống dự phòng hiện có</t>
  </si>
  <si>
    <t>Diễn tập &amp; cập nhật kế hoạch BCP/DRP.</t>
  </si>
  <si>
    <t>Biên bản diễn tập</t>
  </si>
  <si>
    <t>Đào tạo chuyên sâu cho 1–2 nhân sự nòng cốt; cân nhắc thuê tư vấn/đào tạo ngoài (tham chiếu ISO 22301) nếu năng lực nội bộ còn hạn chế.</t>
  </si>
  <si>
    <t>Hồ sơ đào tạo BCP/DRP</t>
  </si>
  <si>
    <t>Triển khai RCSA cho các quy trình trọng yếu còn lại (ngoài phạm vi thí điểm).</t>
  </si>
  <si>
    <t>Risk Owner toàn TCT</t>
  </si>
  <si>
    <t>Báo cáo KRI tháng</t>
  </si>
  <si>
    <t>Báo cáo sự kiện rủi ro/tổn thất định kỳ &amp; đột xuất theo phân cấp; phối hợp Tài chính định lượng tổn thất ròng và theo dõi thu hồi.</t>
  </si>
  <si>
    <t>Báo cáo sự kiện rủi ro/tổn thất định kỳ + số liệu tổn thất ròng</t>
  </si>
  <si>
    <t>Đưa nội dung rủi ro (top rủi ro, KRI Vàng/Đỏ, KHHĐ trễ hạn, sự cố/tổn thất lớn) vào chương trình họp giao ban/quản trị định kỳ của BGĐ để đánh giá bức tranh rủi ro &amp; phê duyệt ứng phó rủi ro vượt tuyến.</t>
  </si>
  <si>
    <t>Nội dung QTRR trong họp giao ban</t>
  </si>
  <si>
    <t>Bộ tài liệu họp chuẩn hoá</t>
  </si>
  <si>
    <t>Ban Kiểm soát cấp TCT giám sát; ghi nhận &amp; theo dõi thực thi các kết luận về rủi ro.</t>
  </si>
  <si>
    <t>Ban Kiểm soát</t>
  </si>
  <si>
    <t>Giám sát, rà soát &amp; điều chỉnh khung/công cụ</t>
  </si>
  <si>
    <t>Báo cáo đánh giá độ phù hợp bộ công cụ</t>
  </si>
  <si>
    <t>Bước 14</t>
  </si>
  <si>
    <t>Hiệu chỉnh ngưỡng cảnh báo (Xanh/Vàng/Đỏ) hoặc thay đổi chỉ số KRI không còn phản ánh đúng thực tế.</t>
  </si>
  <si>
    <t>Bộ công cụ được hiệu chỉnh</t>
  </si>
  <si>
    <t>RAS &amp; danh mục rủi ro cập nhật</t>
  </si>
  <si>
    <t>Số hóa công cụ QTRR (GRC/Dashboard)</t>
  </si>
  <si>
    <t>BRD được phê duyệt</t>
  </si>
  <si>
    <t>Công cụ GRC/dashboard QTRR (thử nghiệm)</t>
  </si>
  <si>
    <t>Có thể phối hợp với dự án v_GRC trên Tập đoàn</t>
  </si>
  <si>
    <t>CNTT/Tập đoàn (dự án v_GRC)</t>
  </si>
  <si>
    <t>Kế hoạch chuyển đổi vận hành</t>
  </si>
  <si>
    <t>Đánh giá hiệu quả/độ trưởng thành &amp; gắn KPI–văn hóa</t>
  </si>
  <si>
    <t>Báo cáo độ trưởng thành QTRR</t>
  </si>
  <si>
    <t>Báo cáo trình BGĐ + lộ trình giai đoạn tiếp theo</t>
  </si>
  <si>
    <t>KPI gắn QTRR + hồ sơ đào tạo/kiểm tra định kỳ</t>
  </si>
  <si>
    <t>BP.QTRR - VDS</t>
  </si>
  <si>
    <t>STT</t>
  </si>
  <si>
    <t>T0</t>
  </si>
  <si>
    <t>Các khối/phòng ban liên quan</t>
  </si>
  <si>
    <t>Đơn vị chủ trì</t>
  </si>
  <si>
    <t>Đơn vị phối hợp</t>
  </si>
  <si>
    <t>Phân công phối hợp</t>
  </si>
  <si>
    <t>Đầu vào tiên quyết</t>
  </si>
  <si>
    <t>Công việc</t>
  </si>
  <si>
    <t>Bước</t>
  </si>
  <si>
    <t>Phối hợp cung cấp thông tin theo yêu cầu của BP. QTRR</t>
  </si>
  <si>
    <t>Hoàn thành Bước 1</t>
  </si>
  <si>
    <t>Hoàn thành Bước 1.1</t>
  </si>
  <si>
    <t>Đánh giá hiện trạng QTRR sơ bộ ở cấp độ TCT theo khung thông lệ tham chiếu</t>
  </si>
  <si>
    <t>B. KSNB Tập đoàn</t>
  </si>
  <si>
    <t>Dự thảo Đề án/Chương trình triển khai QTRR tại VDS</t>
  </si>
  <si>
    <t>Soạn thảo Đề án/Chương trình triển khai QTRR</t>
  </si>
  <si>
    <t>Trình TGĐ phê duyệt QĐ triển khai Chương trình</t>
  </si>
  <si>
    <t>1) Bố trí nhân sự
2) Tư vấn về kế hoạch chi tiết</t>
  </si>
  <si>
    <t>Kế hoạch tổng thể/chi tiết + Danh sách nhân sự và phân công nhóm dự án</t>
  </si>
  <si>
    <t>Xây dựng kế hoạch tổng thể + Đề xuất nhân sự tham gia dự án</t>
  </si>
  <si>
    <t>1.1. Đánh giá hiện trạng &amp; mức độ trưởng thành QTRR sơ bộ tại VDS</t>
  </si>
  <si>
    <t>Phần đánh giá hiện trạng sơ bộ trong Đề cương</t>
  </si>
  <si>
    <t>Phần đánh giá hiện trạng QTRR sơ bộ ở cấp độ TCT trong Đề cương</t>
  </si>
  <si>
    <t>Lập nhóm dự án &amp; Lên kế hoạch chi tiết</t>
  </si>
  <si>
    <t>Tư vấn về mặt phương pháp luận và kinh nghiệm triển khai, kế hoạch tổng thể đối với dự thảo Đề án</t>
  </si>
  <si>
    <r>
      <rPr>
        <b/>
        <sz val="10"/>
        <rFont val="Arial"/>
        <family val="2"/>
      </rPr>
      <t xml:space="preserve">Soạn thảo đề án đáp ứng các nội dung: </t>
    </r>
    <r>
      <rPr>
        <sz val="10"/>
        <rFont val="Arial"/>
        <family val="2"/>
      </rPr>
      <t xml:space="preserve">
Đánh giá hiện trạng QTRR, mục tiêu, phạm vi, các cấu phần sẽ xây (khẩu vị, danh mục rủi ro, RCSA, KRI, cơ chế sự cố...), Lộ trình theo giai đoạn, Kế hoạch tổng thể, Nguồn lực, Ngân sách, Rủi ro trong quá trình triển khai.</t>
    </r>
  </si>
  <si>
    <t>Trình BGĐ phê duyệt Đề án, Lộ trình, nguồn lực &amp; ngân sách và PTGĐ phụ trách</t>
  </si>
  <si>
    <t>QĐ phê duyệt Đề án và chỉ định Sponsor</t>
  </si>
  <si>
    <t>1 tháng</t>
  </si>
  <si>
    <t>Đã hoàn thành
(theo dự thảo Đề cương của VDS)</t>
  </si>
  <si>
    <t>Đang xây dựng kế hoạch chi tiết cùng B. KSNB</t>
  </si>
  <si>
    <t>2 tháng</t>
  </si>
  <si>
    <t>2 tuần</t>
  </si>
  <si>
    <t>Đang triển khai (theo cập nhật của VDS)</t>
  </si>
  <si>
    <t>Lập danh mục các hoạt động/quy trình chính của VDS</t>
  </si>
  <si>
    <t>Phê duyệt và chỉ định Sponsor cấp BGĐ (PTGĐ phụ trách) bảo trợ chương trình</t>
  </si>
  <si>
    <r>
      <t xml:space="preserve">1) Nhân sự
2) </t>
    </r>
    <r>
      <rPr>
        <sz val="10"/>
        <color rgb="FFFF0000"/>
        <rFont val="Arial"/>
        <family val="2"/>
      </rPr>
      <t>B. KSNB Tập đoàn</t>
    </r>
  </si>
  <si>
    <t>Hoàn thành Bước 2</t>
  </si>
  <si>
    <t>Gán Risk Owner (Đơn vị chịu trách nhiệm) cho từng hoạt động/nhóm rủi ro</t>
  </si>
  <si>
    <t>Thống nhất cơ chế đưa các vấn đề QTRR (khẩu vị, rủi ro trọng yếu, sự cố/tổn thất lớn, KHHĐ) vào nội dung họp giao ban/quản trị định kỳ của BGĐ; BP.QTRR chuẩn bị nội dung xin ý kiến và theo dõi chỉ đạo hành động khắc phục</t>
  </si>
  <si>
    <t>Danh mục hoạt động/quy trình chính tại VDS</t>
  </si>
  <si>
    <t>Bảng phân công Risk Owner (dự thảo), đảm bảo tất cả hoạt động đều có RO</t>
  </si>
  <si>
    <r>
      <t xml:space="preserve">1) Trưởng các đơn vị
2) </t>
    </r>
    <r>
      <rPr>
        <sz val="10"/>
        <color rgb="FFFF0000"/>
        <rFont val="Arial"/>
        <family val="2"/>
      </rPr>
      <t>B. KSNB Tập đoàn</t>
    </r>
  </si>
  <si>
    <t>Trình BGĐ ký xác nhận trách nhiệm của các Risk Owner</t>
  </si>
  <si>
    <t>Xây dựng lại Quy chế Khung QTRR</t>
  </si>
  <si>
    <t>Soạn thảo và trình phê duyệt Quy chế QTRR</t>
  </si>
  <si>
    <t>Quy chế được TGĐ phê duyệt ban hành</t>
  </si>
  <si>
    <t>Soạn thảo và trình văn bản lên BGĐ phê duyệt</t>
  </si>
  <si>
    <t>Bảng phân công Risk Owner được BGĐ phê duyệt</t>
  </si>
  <si>
    <t xml:space="preserve">Văn bản yêu cầu + QĐ mạng lưới điều phối viên được BGĐ phê duyệt ban hành và truyền thông trực tiếp tới các Đơn vị </t>
  </si>
  <si>
    <t>Phê duyệt bảng phân công RO và văn bản yêu cầu cử điều phối viên chính/phụ</t>
  </si>
  <si>
    <t>- Map RO với nhóm hoạt động/rủi ro 
- Gán trách nhiệm cụ thể (bước 3.4) cho các RO này</t>
  </si>
  <si>
    <t>Dự thảo trách nhiệm/nghĩa vụ tham gia của các bộ phận; gắn vào KPI/giao việc của lãnh đạo tuyến 1.</t>
  </si>
  <si>
    <t xml:space="preserve">1) Cung cấp thông tin các hoạt động đang thực hiện theo CNNV và khoanh vùng các hoạt động chính;
2) Tư vấn về cách thức và kết quả </t>
  </si>
  <si>
    <t>1, 2) Góp ý về 5 đề xuất đối với cơ chế QTRR của TCT nói riêng và Quy chế Khung nói chung
2) Bổ sung đề xuất đối với Khung (nếu có)
3) Phê duyệt ban bành Quy chế
4) Xây dựng KPI</t>
  </si>
  <si>
    <t>- Nghiên cứu và soạn thảo các nội dung, đề xuất
- Gửi các bên cho ý kiến (nếu cần thiết) và điều chỉnh theo góp ý</t>
  </si>
  <si>
    <t>Nhận diện và thiết lập mạng lưới QTRR</t>
  </si>
  <si>
    <t>- Sơ đồ 3 tuyến, Cơ chế đưa QTRR vào giao ban BGĐ, trách nhiệm các bộ phận được bổ sung vào dự thảo Quy chế, Quy trình QTRR
- Các vấn đề như KPI Lãnh đạo Tuyến 1, kênh trao đổi và lịch họp định kỳ có thể được cân nhắc đưa vào Quy chế hoặc Phụ lục Quy chế
- QĐ + Quy chế Ban Kiểm soát cấp TCT được ban hành</t>
  </si>
  <si>
    <t>B.KSNB Tập đoàn</t>
  </si>
  <si>
    <t>Tư vấn và cho ý kiến với nội dung đào tạo và lộ trình đào tạo</t>
  </si>
  <si>
    <t>Đã hoàn thành</t>
  </si>
  <si>
    <t>Đề cương được TGĐ phê duyệt và sponsor được chỉ định</t>
  </si>
  <si>
    <t>Đề cương được TGĐ phê duyệt, chỉ định spondor và chủ trương được truyền thông toàn TCT</t>
  </si>
  <si>
    <t>3. Xây dựng lại Quy chế Khung QTRR</t>
  </si>
  <si>
    <t>P.TGĐ chuyên trách QTRR chủ trì buổi họp</t>
  </si>
  <si>
    <t>BP. QTRR - VDS</t>
  </si>
  <si>
    <t>Chuẩn bị tài liệu và nội dung họp</t>
  </si>
  <si>
    <t>Phê duyệt KVRR / cho ý kiến điều chỉnh (nếu có)</t>
  </si>
  <si>
    <t>TGĐ VDS</t>
  </si>
  <si>
    <t>BGĐ VDS</t>
  </si>
  <si>
    <t>Kết luận định hướng về chiến lược và về risk capacity</t>
  </si>
  <si>
    <r>
      <rPr>
        <b/>
        <sz val="10"/>
        <rFont val="Arial"/>
        <family val="2"/>
      </rPr>
      <t xml:space="preserve">Soạn thảo KVRR cho giai đoạn chiến lược (2025-2030) gồm các cấu phần: </t>
    </r>
    <r>
      <rPr>
        <sz val="10"/>
        <rFont val="Arial"/>
        <family val="2"/>
      </rPr>
      <t xml:space="preserve">
tuyên bố định tính theo nhóm rủi ro cấp 1 + hạn mức định lượng + ngưỡng cảnh báo + quy tắc escalation (chạm/vượt ngưỡng báo ai, trong bao lâu).</t>
    </r>
  </si>
  <si>
    <t>Soạn thảo văn bản Quy định</t>
  </si>
  <si>
    <t>Dự thảo nội dung KVRR cho giai đoạn 2025-2030</t>
  </si>
  <si>
    <t>Dự thảo quy định xây dựng Khẩu vị rủi ro (KVRR) hoặc là dự thảo như là một phần của Quy chế QTRR tại VDS</t>
  </si>
  <si>
    <r>
      <t xml:space="preserve">1) </t>
    </r>
    <r>
      <rPr>
        <sz val="10"/>
        <color rgb="FFFF0000"/>
        <rFont val="Arial"/>
        <family val="2"/>
      </rPr>
      <t>B. KSNB Tập đoàn</t>
    </r>
    <r>
      <rPr>
        <sz val="10"/>
        <rFont val="Arial"/>
        <family val="2"/>
      </rPr>
      <t xml:space="preserve">
2) Các Đơn vị có số liệu (Tài chính, IT, …)
3) Các Đơn vị liên quan cho ý kiến (P. Chiến lược,…)</t>
    </r>
  </si>
  <si>
    <t>1) Tư vấn về phương pháp luận, góp ý về sự phù hợp của lựa chọn rủi ro, nội dung tuyên bố định tính và các nội dung, cơ chế của hạn mức
2) Cung cấp dữ liệu tham chiếu cho BP. QTRR - VDS theo yêu cầu
3) Các Đơn vị liên quan thực hiện góp ý dự thảo</t>
  </si>
  <si>
    <t>Họp BGĐ chốt định hướng chiến lược &amp; mục tiêu trọng điểm và thảo luận về khả năng chịu đựng rủi ro  (risk capacity) của TCT</t>
  </si>
  <si>
    <t>Điều chỉnh/ xây dựng lại và ban hành Quy chế Khung QTRR tại VDS gồm tối thiểu:
nguyên tắc QTRR, mô hình tổ chức QTRR, cơ chế truyền thông, báo cáo</t>
  </si>
  <si>
    <t xml:space="preserve">Thiết lập kênh báo cáo, trao đổi &amp; lịch họp điều phối định kỳ, đột xuất </t>
  </si>
  <si>
    <t>- Chọn các nhóm rủi ro cấp 1 để xây tuyên bố định tính (nên có khung tham chiếu)
- Xây dựng dự thảo tuyên bố, hạn mức</t>
  </si>
  <si>
    <t>Soạn thảo Quy định xây dựng &amp; cập nhật Danh mục rủi ro và Thước đo rủi ro</t>
  </si>
  <si>
    <t>Soạn thảo Quy định QLRR (Risk taxonomy): 
Mục đích, phương pháp phân loại/đo lường, cấu trúc phân cấp, tần suất rà soát, trách nhiệm các bên; quy định và yêu cầu với việc xây dựng thước đo rủi ro</t>
  </si>
  <si>
    <t xml:space="preserve">Dự thảo QĐ QLRR </t>
  </si>
  <si>
    <t>Mẫu biểu thư viện rủi ro</t>
  </si>
  <si>
    <t>Tư vấn phương pháp luận và góp ý dự thảo</t>
  </si>
  <si>
    <t>QĐ và Thước đo được ban hành</t>
  </si>
  <si>
    <t>Xác định nguyên tắc chung áp dụng thống nhất cho cả 3 công cụ: cùng dùng chung thước đo/ngưỡng đã ban hành ở Bước 8, cùng logic escalation của KVRR (Bước 7)</t>
  </si>
  <si>
    <t>Xác định mối quan hệ/luồng dữ liệu giữa 3 công cụ (VD: KRI cảnh báo sớm → RCSA xác nhận nguyên nhân → LED ghi nhận khi rủi ro đã xảy ra thành sự cố thực tế) để tránh xây riêng lẻ, chồng chéo</t>
  </si>
  <si>
    <t>- Thiết kế biểu mẫu RCSA (rủi ro – nguyên nhân – kiểm soát – đánh giá – rủi ro còn lại – KHHĐ)
- Xây hướng dẫn chấm điểm RCSA dựa trên thước đo đã có (Bước 8), thêm thang đánh giá hiệu quả kiểm soát
- Thử nghiệm biểu mẫu trên 1–2 quy trình mẫu, hoàn thiện &amp; ban hành</t>
  </si>
  <si>
    <t>Sơ đồ luồng liên kết 3 công cụ</t>
  </si>
  <si>
    <t>Văn bản nguyên tắc chung</t>
  </si>
  <si>
    <t>- Tư vấn về phương pháp luận cho toàn bộ các công cụ phía dưới
- Review dự thảo các Hướng dẫn (nếu được yêu cầu)</t>
  </si>
  <si>
    <t>- Biểu mẫu + tài liệu hướng dẫn RCSA (bản chính thức)</t>
  </si>
  <si>
    <t>- Thiết kế cấu trúc chuẩn của 1 KRI (Tên chỉ số, công thức, nguồn dữ liệu, ngưỡng,…)
- Xác định tiêu chí của 1 KRI tốt
- Xây dựng phương pháp thiết lập ngưỡng (nhất quán với hạn mức tại Bước 7)
- Thiết kế báo cáo/dashboard KRI
- Ban hành văn bản QĐ KRI / hoặc Hướng dẫn xây dựng, cập nhật KRI</t>
  </si>
  <si>
    <t xml:space="preserve"> - Mẫu biểu KRI chuẩn, đáp ứng thư viện rủi ro
- Văn bản hướng dẫn KRI được ban hành
-Phương pháp luận và Dashboard/KRI được phê duyệt</t>
  </si>
  <si>
    <t>1) Tư vấn về phương pháp luận của KRI và khó khăn trong quá trình triển khai
2) Phê duyệt ban hành văn bản quy phạm (nếu cần)</t>
  </si>
  <si>
    <t>Xây dựng nguyên tắc</t>
  </si>
  <si>
    <t>Thiết kế mối liên hệ giữa 3 công cụ</t>
  </si>
  <si>
    <t>- Khảo sát cách ghi nhận sự cố hiện tại ở các đơn vị, xác định khoảng trống
- Thiết kế mẫu biểu, quy tắc phân loại sự kiện/tổn thất, ngưỡng báo cáo
- Quy hoạch luồng báo cáo sự kiện
- Ban hành văn bản quy phạm (nếu cần thiết)</t>
  </si>
  <si>
    <t>1) Tư vấn về phương pháp luận của LED và khó khăn trong quá trình triển khai
2) Phê duyệt ban hành văn bản quy phạm (nếu cần)</t>
  </si>
  <si>
    <t>- Mẫu biểu và cơ chế thu thập, báo cáo sự kiện RR được ban hành</t>
  </si>
  <si>
    <t>Xây dựng công cụ RCSA</t>
  </si>
  <si>
    <t>Xây dựng công cụ KRI</t>
  </si>
  <si>
    <t>Xây dựng công cụ Sự kiện rủi ro/tổn thất</t>
  </si>
  <si>
    <t>Khởi động dự án &amp; đánh giá hiện trạng QTRR tại TT VHKT</t>
  </si>
  <si>
    <t xml:space="preserve">	Rà soát hiện trạng công tác QTRR hiện có &amp; thu thập dữ liệu sự cố/tổn thất lịch sử tại Trung tâm</t>
  </si>
  <si>
    <t>Tổng hợp, hoàn thiện Bản đánh giá hiện trạng QTRR tại TT VHKT</t>
  </si>
  <si>
    <t xml:space="preserve">	Trình phê duyệt &amp; truyền thông trong nội bộ TT</t>
  </si>
  <si>
    <t xml:space="preserve">	Họp kickoff với Ban lãnh đạo TT VHKT: thống nhất phương án triển khai, phân công đầu mối theo từng mảng nghiệp vụ</t>
  </si>
  <si>
    <t>3.1. Dự thảo mô hình 3 tuyến &amp; chức năng của BP.QTRR trong bộ máy</t>
  </si>
  <si>
    <t>3.2 - 3.5</t>
  </si>
  <si>
    <t>9.1. Xác định nguyên tắc chung cho cả 3 công cụ (dùng chung thước đo Bước 8, escalation của KVRR Bước 7)</t>
  </si>
  <si>
    <t>9.2. Xác định mối quan hệ/luồng dữ liệu giữa RCSA – KRI – LED</t>
  </si>
  <si>
    <t>9.3. Xây dựng công cụ RCSA (biểu mẫu + hướng dẫn chấm điểm + thử nghiệm)</t>
  </si>
  <si>
    <t>9.4. Xây dựng công cụ KRI (cấu trúc chuẩn, tiêu chí, ngưỡng, dashboard, quy định KRI)</t>
  </si>
  <si>
    <t>9.5. Xây dựng công cụ Sự kiện rủi ro/tổn thất (LED): khảo sát, mẫu biểu, luồng báo cáo</t>
  </si>
  <si>
    <t>Quy chế Khung QTRR được TGĐ phê duyệt ban hành</t>
  </si>
  <si>
    <t>Dự thảo sơ đồ 3 tuyến &amp; chức năng BP.QTRR</t>
  </si>
  <si>
    <t>Cơ chế đưa QTRR vào giao ban BGĐ</t>
  </si>
  <si>
    <t>Dự thảo trách nhiệm &amp; KPI tuyến 1</t>
  </si>
  <si>
    <t>Kênh trao đổi + lịch họp điều phối</t>
  </si>
  <si>
    <t>Risk Owner, ĐPV</t>
  </si>
  <si>
    <t>Tổ chức họp, chuẩn bị tài liệu trao đổi</t>
  </si>
  <si>
    <t>Danh sách quy trình thí điểm và phân công đầu mối</t>
  </si>
  <si>
    <t>Kết quả đánh giá hiện trạng QTRR chi tiết theo khung tham chiếu</t>
  </si>
  <si>
    <t>Báo cáo đánh giá hiện trạng trình lên GĐ TT</t>
  </si>
  <si>
    <t>Tổng hợp và hoàn thiện báo cáo</t>
  </si>
  <si>
    <t>Thực hiện rà soát qua việc phỏng vấn, rà soát quy trình</t>
  </si>
  <si>
    <t>3 tháng</t>
  </si>
  <si>
    <t>Xây phương pháp luận các công cụ nhận diện, theo dõi rủi ro (RCSA, KRI, LED, BCP)</t>
  </si>
  <si>
    <t>Xây dựng công cụ BCP</t>
  </si>
  <si>
    <t>- Dự thảo về quy định, các khái niệm cơ bản của BCP</t>
  </si>
  <si>
    <t>1) Tư vấn về phương pháp luận của BCP
2) Phê duyệt ban hành văn bản quy phạm (nếu cần)</t>
  </si>
  <si>
    <t>9.6. Xây dựng công cụ BCP</t>
  </si>
  <si>
    <t>9. Xây phương pháp luận công cụ nhận diện/theo dõi rủi ro (RCSA, KRI, LED, BCP)</t>
  </si>
  <si>
    <t>GIAI ĐOẠN B — THIẾT LẬP KHUNG VÀ CÁC CẤU PHẦN KHUNG QTRR</t>
  </si>
  <si>
    <t>GIAI ĐOẠN B — THIẾT LẬP KHUNG VÀ CÁC CẤU PHẦN TRONG KHUNG QTRR</t>
  </si>
  <si>
    <t>1) Tư vấn về phương pháp luận
2) Phối hợp thử nghiệm mẫu trên quy trình và cung cấp feedback
3) Phê duyệt ban hành văn bản quy phạm (nếu cần)</t>
  </si>
  <si>
    <r>
      <rPr>
        <sz val="10"/>
        <color rgb="FFFF0000"/>
        <rFont val="Arial"/>
        <family val="2"/>
      </rPr>
      <t>1) B. KSNB Tập đoàn</t>
    </r>
    <r>
      <rPr>
        <sz val="10"/>
        <rFont val="Arial"/>
        <family val="2"/>
      </rPr>
      <t xml:space="preserve">
2) Điều phối viên, Risk Owner
3) P.TGĐ phụ trách QTRR</t>
    </r>
  </si>
  <si>
    <r>
      <rPr>
        <sz val="10"/>
        <color rgb="FFFF0000"/>
        <rFont val="Arial"/>
        <family val="2"/>
      </rPr>
      <t>1) B. KSNB Tập đoàn</t>
    </r>
    <r>
      <rPr>
        <sz val="10"/>
        <rFont val="Arial"/>
        <family val="2"/>
      </rPr>
      <t xml:space="preserve">
2) P.TGĐ phụ trách QTRR</t>
    </r>
  </si>
  <si>
    <t>Dựa vào KVRR cấp TCT (Bước 4) để thiết lập KVRR cấp độ TT</t>
  </si>
  <si>
    <t>Xây tuyên bố &amp; hạn mức phù hợp đặc thù vận hành TT VHKT</t>
  </si>
  <si>
    <t>TT VHKT</t>
  </si>
  <si>
    <t>Bước 5</t>
  </si>
  <si>
    <t>GIAI ĐOẠN C — TRIỂN KHAI THÍ ĐIỂM TẠI VHKT</t>
  </si>
  <si>
    <r>
      <rPr>
        <b/>
        <sz val="10"/>
        <rFont val="Arial"/>
        <family val="2"/>
      </rPr>
      <t xml:space="preserve">Xây dựng nội dung đào tạo về QTRR cho VHKT: </t>
    </r>
    <r>
      <rPr>
        <sz val="10"/>
        <rFont val="Arial"/>
        <family val="2"/>
      </rPr>
      <t xml:space="preserve">
- Đào tạo kiến thức cơ bản về QTRR
- Đào tạo về các cơ chế, công cụ QTRR hiện đang áp dụng tại VDS</t>
    </r>
  </si>
  <si>
    <t>Xây dựng tài liệu đào tạo
Tổ chức đào tạo</t>
  </si>
  <si>
    <t>TT VHKT trình phê duyệt GĐ TT và truyền thông nội bộ Trung tâm sau khi được phê duyệt</t>
  </si>
  <si>
    <t>GĐTT VHKT</t>
  </si>
  <si>
    <t>Tuyên bố, hạn mức KVRR phù hợp với TT VHKT được thiết lập</t>
  </si>
  <si>
    <t>Nhận diện &amp; thống nhất danh mục rủi ro trọng yếu cấp TT</t>
  </si>
  <si>
    <t>Xây dựng KVRR, thư viện RR và danh mục RR trọng yếu và KRI cấp độ Trung tâm</t>
  </si>
  <si>
    <t>Xây dựng KH Kinh doanh liên tục cho các quy trình trọng yếu cấp Trung tâm</t>
  </si>
  <si>
    <t>Bước 10 (cần biết rủi ro trọng yếu)</t>
  </si>
  <si>
    <t>Xây dựng KRI cho danh mục rủi ro trọng yếu cấp TT (ưu tiên 10-15 rủi ro có mức độ rủi ro cao nhất và có khả năng khả thi đo lường cao nhất)</t>
  </si>
  <si>
    <t>Điều phối và tư vấn về phương pháp luận, kết quả triển khai của TT VHKT</t>
  </si>
  <si>
    <t>KVRR, Danh mục rủi ro trọng yếu và bộ KRI của TT được phê duyệt và ban hành</t>
  </si>
  <si>
    <t>- Phối hợp cung cấp thông tin theo yêu cầu của BP. QTRR
- Cử người tham gia phối hợp, tham gia đào tạo</t>
  </si>
  <si>
    <t>TT VHKT, Risk Owner, ĐPV</t>
  </si>
  <si>
    <t>Tham gia đào tạo</t>
  </si>
  <si>
    <t>TT VHKT thực hiện theo các tài liệu Hướng dẫn của BP. QTRR (Quy trình QLRR, Thước đo, RCSA)</t>
  </si>
  <si>
    <t>Báo cáo kết quả thử nghiệm kết hợp đưa rủi ro vào họp quản trị cấp TCT Quý IV/2026</t>
  </si>
  <si>
    <t>Thử nghiệm vận hành theo dõi báo cáo KRI &amp; sự cố/tổn thất trong 1 quý</t>
  </si>
  <si>
    <t>Chuẩn bị các nội dung báo cáo</t>
  </si>
  <si>
    <t>Nội dung tài liệu họp (risk dashboard, top risks, KHHĐ trễ hạn, sự cố/tổn thất lớn) được chuẩn hóa cho việc triển khai mở rộng toàn TCT</t>
  </si>
  <si>
    <t>Biên bản/kết luận họp quản trị về rủi ro trong Quý IV/2026</t>
  </si>
  <si>
    <t>Tất cả các Bộ phận có kiến nghị cần thực hiện</t>
  </si>
  <si>
    <t>Tự theo dõi nội bộ nghị quyết cần thực hiện và tiến độ
Sau này, định kỳ báo cáo tiến độ cho BKS</t>
  </si>
  <si>
    <t>- Ghi nhận và theo dõi các kết luận
- Yêu cầu các Đơn vị thực thi báo cáo tiến độ định kỳ (nếu có Nghị quyết cần thực thi)</t>
  </si>
  <si>
    <t>Sau buổi họp, chuẩn hóa khung báo cáo rủi ro mở rộng lên phạm vi toàn hàng cho các kỳ họp tiếp theo</t>
  </si>
  <si>
    <t>Bước 10</t>
  </si>
  <si>
    <t>- Thu thập toàn bộ quy trình/hệ thống mà TT VHKT đang sử dụng
- Các Đơn vị xác định quy trình/hệ thống trọng yếu để ưu tiên xây BCP</t>
  </si>
  <si>
    <t>- Thực hiện theo các tài liệu hướng dẫn BCP/DRP của BP. QTRR
- Trình TP, GĐTT ban hành bộ BCP
- Báo cáo kết quả diễn tập với GĐTT</t>
  </si>
  <si>
    <t>1) BP.QTRR - VDS
2) GĐTT VHKT</t>
  </si>
  <si>
    <t>1) Điều phối và tư vấn về phương pháp luận, kết quả triển khai của TT VHKT
2) Phê duyệt bộ BCP của các Quy trình/hệ thống trọng yếu tại TT VHKT
Nhận báo cáo diễn tập BCP/DRP và đưa ra chỉ đạo (nếu có)</t>
  </si>
  <si>
    <t>Biên bản diễn tập
Báo cáo kết quả diễn tập (trình GĐTT)</t>
  </si>
  <si>
    <t>Kế hoạch BCP/DRP của các hệ thống/quy trình đã chọn (GĐTT phê duyệt)</t>
  </si>
  <si>
    <t xml:space="preserve">1) Nhân sự (đào tạo ngoài nếu cần)
2) Nhân sự nòng cốt </t>
  </si>
  <si>
    <t>1) Đào tạo theo yêu cầu
2) Tham gia đào tạo</t>
  </si>
  <si>
    <t>- Khảo sát và xây dựng yêu cầu đào tạo
- Chủ động tìm kiếm chuyên gia đào tạo chuyên sâu (nếu cần thiết), hoặc tự đào tạo</t>
  </si>
  <si>
    <t>Danh sách hệ thống/quy trình ưu tiên BCP/DRP (ưu tiên giới hạn 10 quy trình/hệ thống) (GĐT phê duyệt)</t>
  </si>
  <si>
    <t>Bước 10, 11, 12</t>
  </si>
  <si>
    <t>Danh mục 10 - 15 KRI đưa vào theo dõi thử nghiệm trong Quý IV/2026</t>
  </si>
  <si>
    <t>GIAI ĐOẠN D — TRIỂN KHAI MỞ RỘNG Ở CẤP TCT</t>
  </si>
  <si>
    <t>1) Chủ sở hữu KRI
2) Tài chính</t>
  </si>
  <si>
    <t>Báo cáo KRI hàng tháng lên GĐTT: trong đó nêu rõ tình hình vi phạm của các KRI và kế hoạch giảm thiểu rủi ro tương ứng (nếu có)</t>
  </si>
  <si>
    <t>Trong giai đoạn thử nghiệm, thay mặt các Chủ sở hữu KRI tại TT VHKT để tổng hợp báo cáo KRI, rà soát chất lượng báo cáo, phân tích và trình lên GĐTT VHKT</t>
  </si>
  <si>
    <t>Duy trì luồng escalation theo KVRR đối với rủi ro vượt ngưỡng KVRR</t>
  </si>
  <si>
    <t>1) Hàng tháng, các Đơn vị trong TT VHKT chủ động báo cáo theo thời hạn thống nhất lên BP. QTRR
2) Tài chính cung cấp thông tin hạch toán đối chiếu trong tháng (nếu có)</t>
  </si>
  <si>
    <t>1) Các ĐPV trong TT VHKT
2) Tài chính</t>
  </si>
  <si>
    <t>Hồ sơ escalation theo KVRR</t>
  </si>
  <si>
    <t>1) Định kỳ hoặc khi phát sinh, các Đơn vị trong TT VHKT báo cáo sự kiện cơ chế thống nhất trong Quy trình
Các sự kiện tổn thất cần được lập danh sách theo dõi thu hồi và báo cáo định kỳ
2) Tài chính cung cấp thông tin hạch toán tổn thất (nếu có)</t>
  </si>
  <si>
    <t>Trong giai đoạn thử nghiệm, thay mặt ĐPV chính tại TT VHKT để tổng hợp báo cáo sự kiện tổn thất, rà soát chất lượng báo cáo, phân tích, tổng hợp tiến độ thu hồi tổn thất và trình lên GĐTT VHKT</t>
  </si>
  <si>
    <t>Nhận thông tin vi phạm KVRR tại TT )nếu có) và đưa ra chỉ đạo</t>
  </si>
  <si>
    <t>Escalate lên cấp BGĐ nếu KVRR bị vi phạm</t>
  </si>
  <si>
    <t>Tham gia họp và nêu kết luận về kết quả triển khai thí điểm và hiệu quả của việc thực hiện thí điểm</t>
  </si>
  <si>
    <t>Báo cáo KRI tháng, RCSA định kỳ, rủi ro trong quý IV/2026 lên BGĐ</t>
  </si>
  <si>
    <t>Bộ tài liệu báo cáo Quý IV</t>
  </si>
  <si>
    <t>Truyền thông về kết quả thực hiện thí điểm tại TT VHKT và kế hoạch mở rộng triển khai lên toàn TCT</t>
  </si>
  <si>
    <t>Truyền thông kết quả triển khai thí điểm</t>
  </si>
  <si>
    <t>Bước 13</t>
  </si>
  <si>
    <t>Chuẩn bị các nội dung truyền thông</t>
  </si>
  <si>
    <t>Ban Truyền thông</t>
  </si>
  <si>
    <t>Phối hợp đăng tin</t>
  </si>
  <si>
    <t>Tin truyền thông được đăng tải trên kênh truyền thông chính thức của VDS</t>
  </si>
  <si>
    <t>- Gửi yêu cầu tới các Đơn vị toàn TCT
- Cung cấp tiêu chí xác định hoạt động/quy trình chính
- Thu thập thông tin và lập danh mục hoạt động/quy trình chính</t>
  </si>
  <si>
    <t>GIAI ĐOẠN E — DUY TRÌ, GIÁM SÁT, CẢI TIẾN</t>
  </si>
  <si>
    <t>Cùng trong nội dung văn bản tại bước 15.3, bổ sung nội dung yêu cầu mỗi bộ phận risk owner cử 01 điều phối viên chính (risk champion) và 01 dự phòng, cam kết phối hợp thực hiện các hoạt động QTRR theo hình thức kiêm nghiệm</t>
  </si>
  <si>
    <r>
      <rPr>
        <b/>
        <sz val="10"/>
        <rFont val="Arial"/>
        <family val="2"/>
      </rPr>
      <t xml:space="preserve">Tổ chức đào tạo cơ bản về QTRR: </t>
    </r>
    <r>
      <rPr>
        <sz val="10"/>
        <rFont val="Arial"/>
        <family val="2"/>
      </rPr>
      <t xml:space="preserve">
Rủi ro/QTRR là gì &amp; vì sao cần; mô hình 3 tuyến; vai trò Risk Owner &amp; điều phối viên; khẩu vị rủi ro là gì; cách phối hợp với tuyến 2 và các kênh trao dổi và cơ chế trao đổi đã thiết lập (bước 3.5)</t>
    </r>
  </si>
  <si>
    <r>
      <rPr>
        <b/>
        <sz val="10"/>
        <rFont val="Arial"/>
        <family val="2"/>
      </rPr>
      <t xml:space="preserve">Tổ chức đào tạo chuyên sâu về QTRR: </t>
    </r>
    <r>
      <rPr>
        <sz val="10"/>
        <rFont val="Arial"/>
        <family val="2"/>
      </rPr>
      <t xml:space="preserve">
Tổ chức đào tạo &amp; truyền thông cách thức triển khai hoạt động QTRR tới toàn TCT</t>
    </r>
  </si>
  <si>
    <t>Triển khai các công cụ trên toàn TCT</t>
  </si>
  <si>
    <t>Cập nhật Risk Register cấp TCT</t>
  </si>
  <si>
    <t>Kết quả đánh giá RCSA của toàn bộ các Đơn vị trong TCT</t>
  </si>
  <si>
    <t>- Xây dựng kế hoạch triển khai RCSA ở phạm vi toàn TCT
- Truyền thông triển khai tới các Đơn vị
- Điều phối việc triển khai và tư vấn về phương pháp luận, kết quả thực hiện đánh giá RCSA của Tuyến 1</t>
  </si>
  <si>
    <t>Đánh giá rủi ro, chốt kiểm soát theo hướng dẫn thực hiện RCSA và kế hoạch của BP. QTRR</t>
  </si>
  <si>
    <t>Dựa vào KVRR cấp TCT (Bước 4) và kinh nghiệm triển khai của TT VHKT để thiết lập KVRR cấp độ TT/Phòng/Ban cho từng Đơn vị</t>
  </si>
  <si>
    <t>Xây dựng kế hoạch đào tjao và truyền thông đào tạo</t>
  </si>
  <si>
    <t>- Dự thảo bộ tài liệu nội dung đào tạo</t>
  </si>
  <si>
    <t>- Xây dựng lộ trình bao gồm: xác định phạm vi, đối tượng nhận đào tạo, kênh đào tạo và tần suất đào tạo phù hợp
- Chủ trì đề xuất, tổ chức đào tạo với Học viện</t>
  </si>
  <si>
    <t>- Dự thảo bộ tài liệu nội dung đào tạo
- Mời chuyên gia giảng dạy, chia sẻ (nếu cần)</t>
  </si>
  <si>
    <t>Kế hoạch, lộ trình đào tạo</t>
  </si>
  <si>
    <t>Bộ tài liệu đào tạo chuyên sâu theo công cụ</t>
  </si>
  <si>
    <t>Bước 17</t>
  </si>
  <si>
    <t>Cập nhật KVRR &amp; danh mục rủi ro theo dịch chuyển mô hình kinh doanh của VDS/Tập đoàn.</t>
  </si>
  <si>
    <t>Đánh giá tính thực tế của bộ KRI, RCSA, LED sau 3 tháng vận hành trên toàn TCT</t>
  </si>
  <si>
    <t>Tư vấn xây dựng KVRR cho các Đơn vị chưa thí điểm</t>
  </si>
  <si>
    <t>Các Đơn vị còn lại đều ban hành được KVRR của mình, gắn với KVRR TCT</t>
  </si>
  <si>
    <t>Bước 16</t>
  </si>
  <si>
    <t>Bước 18</t>
  </si>
  <si>
    <t>Các Đơn vị</t>
  </si>
  <si>
    <t>Thiết lập KVRR theo hướng dẫn của BP. QTRR</t>
  </si>
  <si>
    <t>Xây dựng Tài liệu yêu cầu nghiệp vụ (BRD) để số hóa Khung QTRR</t>
  </si>
  <si>
    <t>Phối hợp Khối Công nghệ tự xây hoặc tìm đối tác triển khai công cụ GRC/dashboard QTRR tập trung: tự động lấy dữ liệu từ core để tính KRI, phân quyền cho các bộ phận tự khai báo sự cố trực tuyến, dashboard tập trung</t>
  </si>
  <si>
    <t>Chuyển dần từ vận hành thủ công sang vận hành trên công cụ số hóa</t>
  </si>
  <si>
    <t>Thực hiện đánh giá độ trưởng thành QTRR (Risk Maturity Model) sau 1 chu kỳ vận hành đầy đủ</t>
  </si>
  <si>
    <t>Báo cáo BTGĐ kết quả đánh giá 18 tháng &amp; đề xuất lộ trình giai đoạn tiếp theo</t>
  </si>
  <si>
    <t>Tổ chức đào tạo chuyên sâu &amp; kiểm tra nhanh (quiz) định kỳ để nâng cao văn hoá rủi ro; gắn KPI QTRR vào KPI cấp quản lý tuyến 1</t>
  </si>
  <si>
    <t>- Tổng hợp kết quả RCSA tại bước 17.2 để bổ sung và cập nhật Danh mục rủi ro cấp TCT
- Đối chiếu Danh mục rủi ro tại Bước 17.3 với danh mục rủi ro trọng yếu từ bước 7.2 để cập nhật bức tranh rủi ro toàn TCT.</t>
  </si>
  <si>
    <t>Xây KRI cho các rủi ro trọng yếu trong danh mục</t>
  </si>
  <si>
    <t>- Các Đơn vị xây dựng KRI cho các Danh mục trọng yếu của Đơn vị mình trong danh mục đã nhận diện từ bước 15.1</t>
  </si>
  <si>
    <t>- Điều phối các Đơn vị trong việc xây dựng KRI
- Hướng dẫn vè phương pháp luận và tư vấn, góp ý về kết quả xây dựng KRI 
- Tổng hợp bộ KRI của toàn TCT và trình TGĐ phê duyệt</t>
  </si>
  <si>
    <t>Bức tranh rủi ro toàn TCT được cập nhật, các rủi ro trọng yếu đề được đề xuất giải pháp giảm thiểu</t>
  </si>
  <si>
    <t>Bộ KRI ở cấp độ toàn TCT</t>
  </si>
  <si>
    <t>Tùy chọn thực hiện các công việc liên quan đến BCP nếu còn thời gian</t>
  </si>
  <si>
    <t>Báo cáo sự kiện rủi ro/tổn thất định kỳ &amp; đột xuất theo Hướng dẫn đã ban hành</t>
  </si>
  <si>
    <t>- Các Đơn vị chủ động thực hiện báo cáo sự kiện theo Hướng dẫn của BP. QTRR</t>
  </si>
  <si>
    <t>- Giám sát việc báo cáo sự kiện của các Đơn vị Tuyến 1
- Tư vấn đánh giá sự kiện
- Đối chiếu với Tài chính nếu cần thông tin hạch toán tổn thất</t>
  </si>
  <si>
    <t>- Các Đơn vị chủ động xây dựng và kiểm thử BCP theo kế hoạch riêng biệt của BP. QTRR</t>
  </si>
  <si>
    <t>- Xây dựng kế hoạch xây dựng/cập nhật BCP toàn TCT
- Tư vấn kiến thức, phương pháp luận BCP cho các Đơn vị</t>
  </si>
  <si>
    <t>Phói hợp cung cấp thông tin</t>
  </si>
  <si>
    <t>- Đánh giá hiệu quả triển khai các công cụ QTRR dựa trên: dữ liệu thực tế, survey/phỏng vấn các Đơn vị…</t>
  </si>
  <si>
    <t>- Chủ động cập nhật khi có phát sinh thay đổi môi trường kinh doanh
- Cập nhật theo định kỳ, yêu cầu của BP. QTRR</t>
  </si>
  <si>
    <t>1) Điều phối cập nhật các công cụ định kỳ
 Tư vấn kết quả đánh giá, nhận diện của Đơn vị;
2) Phê duyệt kết quả của các Đơn vị</t>
  </si>
  <si>
    <t>1) BP. QTRR
2) BGĐ</t>
  </si>
  <si>
    <t>BP. QTRR chủ động xây dự tài liệu nhu cầu người dùng</t>
  </si>
  <si>
    <t>Cung cấp tư vấn về vGRC</t>
  </si>
  <si>
    <t>Phối hợp đánh giá khả thi, rủi ro trong dự án số hóa QTRR
Hỗ trợ Đơn vị đưa phần mềm lên hệ thống</t>
  </si>
  <si>
    <t>- BP. QTRR tham chiếu mô hình RMM để đánh giá mức độ trưởng thành của VDS trong QTRR sau 1 năm triển khi dự án</t>
  </si>
  <si>
    <t>Nhân sự, Học viện</t>
  </si>
  <si>
    <t>Soạn thảo và trình báo cáo + lộ trình tiếp theo lên BGĐ phê duyệt</t>
  </si>
  <si>
    <t>- Xây dựng kế hoạch/ lộ trình đào tạo định kỳ</t>
  </si>
  <si>
    <t>Phối hợp tổ chức đào tạo</t>
  </si>
  <si>
    <t>Phê duyệt báo cáo và kế hoạch giai đoạn tiếp theo</t>
  </si>
  <si>
    <t>Tư vấn phương pháp luận đánh giá độ trưởng thành</t>
  </si>
  <si>
    <t>4.1. Họp BGĐ chốt định hướng chiến lược &amp; thảo luận risk capacity</t>
  </si>
  <si>
    <t>4.2. Soạn thảo Quy định xây dựng &amp; cập nhật KVRR</t>
  </si>
  <si>
    <t>4.3. Soạn thảo nội dung KVRR giai đoạn 2025–2030</t>
  </si>
  <si>
    <t>4.4. Trình BGĐ phê duyệt Quy định &amp; nội dung KVRR; truyền thông</t>
  </si>
  <si>
    <t>8.1. Họp kickoff &amp; phân công đầu mối tại TT VHKT</t>
  </si>
  <si>
    <t>8.2. Rà soát hiện trạng &amp; thu thập dữ liệu sự cố/tổn thất</t>
  </si>
  <si>
    <t>8.3. Tổng hợp Bản đánh giá hiện trạng QTRR tại TT VHKT</t>
  </si>
  <si>
    <t>9. Đào tạo nhận thức (nhập môn) &amp; truyền thông khởi động tại TT VHKT</t>
  </si>
  <si>
    <t>10.1. Thiết lập KVRR cấp TT dựa trên KVRR cấp TCT (Bước 4)</t>
  </si>
  <si>
    <t>10.2. Nhận diện &amp; thống nhất danh mục rủi ro trọng yếu cấp TT</t>
  </si>
  <si>
    <t>10.3. Xây KRI cho 10–15 rủi ro trọng yếu ưu tiên nhất</t>
  </si>
  <si>
    <t>10.4. Trình GĐ TT phê duyệt &amp; truyền thông nội bộ</t>
  </si>
  <si>
    <t>11.1. Xác định ưu tiên hệ thống/quy trình (đặc biệt Mobile Money)</t>
  </si>
  <si>
    <t>11.2. Phân tích BIA → xác định RTO/RPO</t>
  </si>
  <si>
    <t>11.3. Xây chiến lược khôi phục &amp; viết KH BCP/DRP</t>
  </si>
  <si>
    <t>11.4. Diễn tập &amp; cập nhật kế hoạch</t>
  </si>
  <si>
    <t>12.1. Báo cáo KRI hàng tháng lên GĐTT</t>
  </si>
  <si>
    <t>12.2. Báo cáo sự kiện rủi ro/tổn thất định kỳ &amp; đột xuất</t>
  </si>
  <si>
    <t>12.3. Duy trì luồng escalation theo KVRR</t>
  </si>
  <si>
    <t>13.1–13.2. Báo cáo Quý IV &amp; đưa nội dung rủi ro vào họp quản trị BGĐ</t>
  </si>
  <si>
    <t>13.3–13.4. Chuẩn hoá tài liệu họp cho mở rộng toàn TCT &amp; Ban Kiểm soát giám sát</t>
  </si>
  <si>
    <t>8. Khởi động dự án &amp; đánh giá hiện trạng QTRR tại TT VHKT</t>
  </si>
  <si>
    <t>10. Xây dựng KVRR, danh mục rủi ro trọng yếu &amp; KRI cấp TT VHKT</t>
  </si>
  <si>
    <t>11. Xây KH Kinh doanh liên tục (BCP) cho quy trình trọng yếu cấp TT</t>
  </si>
  <si>
    <t>12. Thử nghiệm vận hành báo cáo KRI &amp; sự cố/tổn thất</t>
  </si>
  <si>
    <t>13. Báo cáo kết quả thử nghiệm &amp; đưa rủi ro vào họp quản trị cấp TCT Quý IV/2026</t>
  </si>
  <si>
    <t>1.3. Lập nhóm Dự án và lên kế hoạch chi tiết</t>
  </si>
  <si>
    <t>Danh sách quy trình thí điểm + phân công đầu mối</t>
  </si>
  <si>
    <t>Danh sách quy trình thí điểm &amp; đầu mối</t>
  </si>
  <si>
    <t>Kết quả đánh giá hiện trạng chi tiết</t>
  </si>
  <si>
    <t>Báo cáo đánh giá hiện trạng trình GĐ TT</t>
  </si>
  <si>
    <t>Risk Owner/ĐPV được đào tạo cơ bản</t>
  </si>
  <si>
    <t>KVRR + KRI cấp TT được GĐTT phê duyệt</t>
  </si>
  <si>
    <t>Tuyên bố &amp; hạn mức KVRR cấp TT</t>
  </si>
  <si>
    <t>Danh mục rủi ro trọng yếu cấp TT</t>
  </si>
  <si>
    <t>Danh mục 10–15 KRI để theo dõi thử nghiệm</t>
  </si>
  <si>
    <t>KVRR + Danh mục + KRI cấp TT được ban hành</t>
  </si>
  <si>
    <t>Kế hoạch BCP/DRP cho hệ thống/quy trình trọng yếu cấp TT</t>
  </si>
  <si>
    <t>Danh sách hệ thống/quy trình ưu tiên</t>
  </si>
  <si>
    <t>Kế hoạch BCP/DRP (GĐTT phê duyệt)</t>
  </si>
  <si>
    <t>Dữ liệu vận hành thử KRI &amp; sự cố/tổn thất</t>
  </si>
  <si>
    <t>Báo cáo sự kiện + số liệu tổn thất ròng</t>
  </si>
  <si>
    <t>Bộ báo cáo Quý IV + kết luận họp quản trị</t>
  </si>
  <si>
    <t>Nội dung QTRR trong họp giao ban BGĐ</t>
  </si>
  <si>
    <t>Bộ tài liệu họp chuẩn hoá + biên bản kết luận</t>
  </si>
  <si>
    <t>Bước 4 (KVRR TCT) và Bước 8, 9</t>
  </si>
  <si>
    <t>10.2, 10.3</t>
  </si>
  <si>
    <t>KVRR 2025–2030 được BGĐ phê duyệt</t>
  </si>
  <si>
    <t>Kết luận định hướng &amp; risk capacity</t>
  </si>
  <si>
    <t>Dự thảo Quy định KVRR</t>
  </si>
  <si>
    <t>Dự thảo nội dung KVRR</t>
  </si>
  <si>
    <t>KVRR được BGĐ phê duyệt &amp; truyền thông</t>
  </si>
  <si>
    <t>Quy định QLRR + Danh mục rủi ro + Thước đo được ban hành</t>
  </si>
  <si>
    <t>Dự thảo Quy định QLRR</t>
  </si>
  <si>
    <t>Bộ phương pháp luận + biểu mẫu RCSA/KRI/LED</t>
  </si>
  <si>
    <t>Sơ đồ luồng liên kết</t>
  </si>
  <si>
    <t>Biểu mẫu RCSA (bản chính thức)</t>
  </si>
  <si>
    <t>Mẫu biểu KRI + hướng dẫn</t>
  </si>
  <si>
    <t>Mẫu biểu + cơ chế báo cáo LED</t>
  </si>
  <si>
    <t>Quy định/khái niệm cơ bản BCP</t>
  </si>
  <si>
    <t>Bước 2 (song song Bước 3)</t>
  </si>
  <si>
    <t>6.3–6.5</t>
  </si>
  <si>
    <t>Bước 2 (gối đầu với Bước 8)</t>
  </si>
  <si>
    <t>14. Truyền thông kết quả triển khai thí điểm</t>
  </si>
  <si>
    <t>15. Nhận diện và thiết lập mạng lưới QTRR toàn TCT</t>
  </si>
  <si>
    <t>16. Đào tạo nhận thức &amp; chuyên sâu toàn TCT (song song 15)</t>
  </si>
  <si>
    <t>17. Triển khai các công cụ QTRR trên toàn TCT (KVRR, RCSA, KRI, LED, BCP tùy chọn cấp đơn vị)</t>
  </si>
  <si>
    <t>17.1. KVRR cấp đơn vị (dựa trên KVRR TCT + kinh nghiệm VHKT)</t>
  </si>
  <si>
    <t>17.2–17.3. Triển khai RCSA toàn TCT &amp; cập nhật Risk Register cấp TCT</t>
  </si>
  <si>
    <t>17.4. Xây KRI cho rủi ro trọng yếu của từng đơn vị</t>
  </si>
  <si>
    <t>17.5–17.6. Báo cáo sự kiện rủi ro/tổn thất &amp; BCP cấp đơn vị (tùy chọn)</t>
  </si>
  <si>
    <t>18. Giám sát, rà soát &amp; điều chỉnh khung/công cụ sau 3 tháng vận hành toàn TCT</t>
  </si>
  <si>
    <t>20. Đánh giá độ trưởng thành QTRR &amp; gắn KPI–văn hoá (báo cáo tổng kết chương trình)</t>
  </si>
  <si>
    <t>Tin truyền thông kết quả thí điểm &amp; kế hoạch mở rộng</t>
  </si>
  <si>
    <t>Mạng lưới Risk Owner &amp; điều phối viên toàn TCT</t>
  </si>
  <si>
    <t>Toàn TCT được đào tạo nhận thức &amp; chuyên sâu</t>
  </si>
  <si>
    <t>Toàn bộ đơn vị vận hành đầy đủ công cụ QTRR</t>
  </si>
  <si>
    <t>Các đơn vị ban hành KVRR gắn với KVRR TCT</t>
  </si>
  <si>
    <t>Risk Register toàn TCT được cập nhật</t>
  </si>
  <si>
    <t>Bộ KRI cấp toàn TCT</t>
  </si>
  <si>
    <t>Cơ chế báo cáo sự kiện toàn TCT vận hành</t>
  </si>
  <si>
    <t>Các Đơn vị/VDS-QTRR</t>
  </si>
  <si>
    <t xml:space="preserve">19. Số hóa công cụ QTRR (GRC/Dashboard) </t>
  </si>
  <si>
    <t>VDS-QTRR / CNTT</t>
  </si>
  <si>
    <t>Báo cáo đánh giá độ phù hợp + bộ công cụ hiệu chỉnh</t>
  </si>
  <si>
    <t>Báo cáo độ trưởng thành + lộ trình giai đoạn tiếp theo</t>
  </si>
  <si>
    <t>Công cụ GRC/dashboard QTRR thử nghiệm</t>
  </si>
  <si>
    <t>GIAI ĐOẠN E — TRIỂN KHAI ÁP DỤNG (THÍ ĐIỂM → NHÂN RỘNG)</t>
  </si>
  <si>
    <t>TT VHKT / BP.QTRR</t>
  </si>
  <si>
    <t>CNTT / đơn vị NV</t>
  </si>
  <si>
    <t>VDS-QTRR / Ban Kiểm soát</t>
  </si>
  <si>
    <t>H</t>
  </si>
  <si>
    <t>Cập nhật: 20/08/2026</t>
  </si>
  <si>
    <t>1 tuần</t>
  </si>
  <si>
    <t>Dự thảo chương II: quy định cụ thể, bao gồm các nội dung như sau:</t>
  </si>
  <si>
    <t>3.2.1.</t>
  </si>
  <si>
    <t>3.2.2.</t>
  </si>
  <si>
    <t>3.2.3.</t>
  </si>
  <si>
    <t>3.2.4.</t>
  </si>
  <si>
    <t>Dự thảo chương I: quy định chung về  mô hình Mô hình 3 tuyến, mô hình tổ chức quản trị rủi ro, chức năng của BP. QTRR và nguyên tắc quản trị rủi ro chung</t>
  </si>
  <si>
    <r>
      <t xml:space="preserve">1) Các Khối/phòng ban liên quan
2) </t>
    </r>
    <r>
      <rPr>
        <sz val="10"/>
        <color rgb="FFFF0000"/>
        <rFont val="Arial"/>
        <family val="2"/>
      </rPr>
      <t xml:space="preserve">B. KSNB Tập đoàn hỗ trợ tư vấn outline quy chế và review đánh giá
</t>
    </r>
    <r>
      <rPr>
        <sz val="10"/>
        <rFont val="Arial"/>
        <family val="2"/>
      </rPr>
      <t>3) TGĐ VDS
4) Nhân sự</t>
    </r>
  </si>
  <si>
    <t>Trình BGĐ phê duyệt Quy định KVRR và nội dung KVRR cho giai đoạn &amp; truyền thông Risk Appetite Statement - Tuyên bố khẩu vị rủi ro</t>
  </si>
  <si>
    <t>- Trình BGĐ phê duyệt quy định và nội dung KVRR
- Điều chỉnh theo ý kiến của BGĐ (nếu có)
- Truyền thông về việc ban hành về KVRR trên toàn TCT</t>
  </si>
  <si>
    <t>Xây dựng Quy định về khẩu vị rủi ro và hệ thống chỉ tiêu đo lường rủi ro</t>
  </si>
  <si>
    <t>Quy định QLRR</t>
  </si>
  <si>
    <t>Trình BGĐ phê duyệt Quy định QLRR</t>
  </si>
  <si>
    <t>Văn bản quy định và nội dung KVRR, Thước đo rủi ro đã được BGĐ phê duyệt ban hành và được truyền thông tại toàn TCT</t>
  </si>
  <si>
    <r>
      <t xml:space="preserve">Soạn thảo Quy định xây dựng và cập nhật KVRR, tối thiểu gồm các nội dung:
1. </t>
    </r>
    <r>
      <rPr>
        <sz val="10"/>
        <rFont val="Arial"/>
        <family val="2"/>
      </rPr>
      <t>Mục đích của KVRR, phương pháp xây dựng, cấu phần thông tin của khẩu vị, nguyên tắc giám sát KVRR, Phương pháp đo lường, tần suất điều chỉnh</t>
    </r>
    <r>
      <rPr>
        <b/>
        <sz val="10"/>
        <rFont val="Arial"/>
        <family val="2"/>
      </rPr>
      <t>/</t>
    </r>
    <r>
      <rPr>
        <sz val="10"/>
        <rFont val="Arial"/>
        <family val="2"/>
      </rPr>
      <t>xây mới, trách nhiệm các bên trong việc xây dựng/điều chỉnh, ....
2. Xây dựng Thước đo Khả năng/Ảnh hưởng (1–4) và bản đồ nhiệt 4×4, đảm bảo ngưỡng màu không vượt ngưỡng cảnh báo đã đặt trong KVRR, và quy tắc xử lý theo màu/mức trọng yếu</t>
    </r>
  </si>
  <si>
    <t>4. Xây dựng Quy định xây dựng và cập nhật KVRR</t>
  </si>
  <si>
    <t>10. Tuần dự phòng</t>
  </si>
  <si>
    <t>5.  Xây dựng Quy định QLRR (Risk taxonomy)</t>
  </si>
  <si>
    <t>5.1. Soạn thảo Quy định QLRR (taxonomy): mục đích, phương pháp, cấu trúc, tần suất rà soát</t>
  </si>
  <si>
    <t>5.2. Trình BGĐ phê duyệt Quy định, Danh mục rủi ro &amp; Thước đo/bản đồ nhiệt; truyền thông</t>
  </si>
  <si>
    <r>
      <t xml:space="preserve">VDS-QTRR / </t>
    </r>
    <r>
      <rPr>
        <sz val="9"/>
        <color rgb="FFFF0000"/>
        <rFont val="Arial"/>
        <family val="2"/>
      </rPr>
      <t>B.KSNB</t>
    </r>
  </si>
  <si>
    <r>
      <t xml:space="preserve">VDS-QTRR / </t>
    </r>
    <r>
      <rPr>
        <sz val="9"/>
        <color rgb="FFFF0000"/>
        <rFont val="Arial"/>
        <family val="2"/>
      </rPr>
      <t xml:space="preserve">B.KSNB </t>
    </r>
    <r>
      <rPr>
        <sz val="9"/>
        <color theme="1"/>
        <rFont val="Arial"/>
        <family val="2"/>
      </rPr>
      <t>/ Các Đơn vị liên quan</t>
    </r>
  </si>
  <si>
    <r>
      <t xml:space="preserve">VDS-QTRR / </t>
    </r>
    <r>
      <rPr>
        <sz val="9"/>
        <color rgb="FFFF0000"/>
        <rFont val="Arial"/>
        <family val="2"/>
      </rPr>
      <t>B.KSNB</t>
    </r>
    <r>
      <rPr>
        <sz val="9"/>
        <color theme="1"/>
        <rFont val="Arial"/>
        <family val="2"/>
      </rPr>
      <t xml:space="preserve"> / Các Đơn vị liên quan / Nhân sự</t>
    </r>
  </si>
  <si>
    <r>
      <t>VDS-QTRR /</t>
    </r>
    <r>
      <rPr>
        <sz val="9"/>
        <color rgb="FFFF0000"/>
        <rFont val="Arial"/>
        <family val="2"/>
      </rPr>
      <t xml:space="preserve"> B.KSNB</t>
    </r>
    <r>
      <rPr>
        <sz val="9"/>
        <color theme="1"/>
        <rFont val="Arial"/>
        <family val="2"/>
      </rPr>
      <t xml:space="preserve"> / Các Đơn vị liên quan</t>
    </r>
  </si>
  <si>
    <r>
      <t xml:space="preserve">VDS-QTRR / </t>
    </r>
    <r>
      <rPr>
        <sz val="9"/>
        <color rgb="FFFF0000"/>
        <rFont val="Arial"/>
        <family val="2"/>
      </rPr>
      <t>B. KSNB</t>
    </r>
  </si>
  <si>
    <r>
      <t>Các Đơn vị/VDS-QTRR /</t>
    </r>
    <r>
      <rPr>
        <sz val="9"/>
        <color rgb="FFFF0000"/>
        <rFont val="Arial"/>
        <family val="2"/>
      </rPr>
      <t xml:space="preserve"> B.KSNB</t>
    </r>
  </si>
  <si>
    <r>
      <t>VDS-QTRR /</t>
    </r>
    <r>
      <rPr>
        <sz val="9"/>
        <color rgb="FFFF0000"/>
        <rFont val="Arial"/>
        <family val="2"/>
      </rPr>
      <t xml:space="preserve"> B.KSNB hỗ trợ</t>
    </r>
  </si>
  <si>
    <r>
      <t>VDS-QTRR /</t>
    </r>
    <r>
      <rPr>
        <sz val="9"/>
        <color rgb="FFFF0000"/>
        <rFont val="Arial"/>
        <family val="2"/>
      </rPr>
      <t xml:space="preserve"> B.KSNB thu thập thông tin đánh giá</t>
    </r>
  </si>
  <si>
    <r>
      <t xml:space="preserve">TT VHKT / BP.QTRRB/ </t>
    </r>
    <r>
      <rPr>
        <sz val="9"/>
        <color rgb="FFFF0000"/>
        <rFont val="Arial"/>
        <family val="2"/>
      </rPr>
      <t>KSNB hỗ trợ</t>
    </r>
  </si>
  <si>
    <r>
      <t xml:space="preserve">CNTT / BP.QTRR / </t>
    </r>
    <r>
      <rPr>
        <sz val="9"/>
        <color rgb="FFFF0000"/>
        <rFont val="Arial"/>
        <family val="2"/>
      </rPr>
      <t>Ban KSNB hỗ trợ</t>
    </r>
  </si>
  <si>
    <r>
      <t xml:space="preserve">Các Đơn vị/VDS-QTRR/ </t>
    </r>
    <r>
      <rPr>
        <sz val="9"/>
        <color rgb="FFFF0000"/>
        <rFont val="Arial"/>
        <family val="2"/>
      </rPr>
      <t>Ban KSNB hỗ trợ</t>
    </r>
  </si>
  <si>
    <t>3.2. Thống nhất cơ chế đưa QTRR vào giao ban BGĐ định kỳ</t>
  </si>
  <si>
    <t>3.3. Dự thảo trách nhiệm/nghĩa vụ tham gia của các bộ phận; gắn KPI lãnh đạo tuyến 1</t>
  </si>
  <si>
    <t>3.4. Thiết lập kênh báo cáo, trao đổi &amp; lịch họp điều phối định kỳ, đột xuất</t>
  </si>
  <si>
    <t>3.5. Điều chỉnh/xây dựng lại &amp; trình ban hành Quy chế Khung QTRR (tổng hợp 3.1–3.5 + góp ý B.KSNB/Đơn vị + phê duyệt TGĐ)</t>
  </si>
  <si>
    <t>Ý kiến của VDS</t>
  </si>
  <si>
    <t>VDS đã hoàn thành</t>
  </si>
  <si>
    <t>VDS đã được phê duyệt chủ trương, tuy nhiên thời gian đầu tập trung làm khung cơ bản cấp TCT và thí điểm ở trung tâm từ giờ đến cuối năm =&gt; hoạt động truyền thông nhân rộng tới cấp TCT sẽ làm vào đầu năm 2027</t>
  </si>
  <si>
    <t>Hiện tại VDS đang để ở giai đoạn nhân rộng (giai đoạn sau của dự án, sau khi đã có kết quả thí điểm)</t>
  </si>
  <si>
    <t>VDS hiện đã có kế hoạch này cấp TCT =&gt; có thể cân nhắc review lại sau khi xong giai đoạn thí điểm</t>
  </si>
  <si>
    <t>VDS bổ sung đầu việc Xây dựng công cụ ERM vào giai đoạn này (phối hợp với nguồn lực nội bộ để xây dựng)</t>
  </si>
  <si>
    <t>Giai đoạn này VDS dự kiến khảo sát để làm KVRR + thước đo rủi ro trước =&gt; quy chế sẽ hoàn thiện lại vào cuối giai đoạn này =&gt; bọn em đề xuất switch thứ tự đầu việc: KVRR+Thước đo =&gt; Taxonomy =&gt; Quy chế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</si>
</sst>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36" x14ac:knownFonts="1">
    <font>
      <sz val="11"/>
      <color theme="1"/>
      <name val="Calibri"/>
      <family val="2"/>
      <charset val="1"/>
    </font>
    <font>
      <b/>
      <sz val="15"/>
      <color rgb="FFFFFFFF"/>
      <name val="Arial"/>
      <family val="2"/>
    </font>
    <font>
      <b/>
      <sz val="12"/>
      <color rgb="FFFFFFFF"/>
      <name val="Arial"/>
      <family val="2"/>
    </font>
    <font>
      <b/>
      <sz val="10"/>
      <color rgb="FFFFFFFF"/>
      <name val="Arial"/>
      <family val="2"/>
    </font>
    <font>
      <sz val="9"/>
      <color rgb="FF1F1F1F"/>
      <name val="Arial"/>
      <family val="2"/>
    </font>
    <font>
      <b/>
      <sz val="9"/>
      <color rgb="FF1F1F1F"/>
      <name val="Arial"/>
      <family val="2"/>
    </font>
    <font>
      <b/>
      <sz val="8"/>
      <color rgb="FFFFFFFF"/>
      <name val="Arial"/>
      <family val="2"/>
    </font>
    <font>
      <b/>
      <sz val="9"/>
      <color rgb="FFFFFFFF"/>
      <name val="Arial"/>
      <family val="2"/>
    </font>
    <font>
      <sz val="9"/>
      <color theme="1"/>
      <name val="Arial"/>
      <family val="2"/>
    </font>
    <font>
      <sz val="9"/>
      <name val="Arial"/>
      <family val="2"/>
    </font>
    <font>
      <sz val="14"/>
      <name val="Wingdings"/>
      <charset val="2"/>
    </font>
    <font>
      <sz val="11"/>
      <color theme="0"/>
      <name val="Calibri"/>
      <family val="2"/>
      <charset val="1"/>
    </font>
    <font>
      <sz val="11"/>
      <name val="Calibri"/>
      <family val="2"/>
      <scheme val="minor"/>
    </font>
    <font>
      <b/>
      <sz val="12"/>
      <name val="Arial"/>
      <family val="2"/>
    </font>
    <font>
      <b/>
      <sz val="9"/>
      <color theme="1"/>
      <name val="Arial"/>
      <family val="2"/>
    </font>
    <font>
      <b/>
      <sz val="11"/>
      <color rgb="FFFFFFFF"/>
      <name val="Arial"/>
      <family val="2"/>
    </font>
    <font>
      <b/>
      <sz val="13"/>
      <color rgb="FFFFFFFF"/>
      <name val="Arial"/>
      <family val="2"/>
    </font>
    <font>
      <sz val="10"/>
      <name val="Arial"/>
      <family val="2"/>
    </font>
    <font>
      <b/>
      <sz val="10"/>
      <name val="Arial"/>
      <family val="2"/>
    </font>
    <font>
      <b/>
      <sz val="11"/>
      <color theme="1"/>
      <name val="Calibri"/>
      <family val="2"/>
      <charset val="1"/>
    </font>
    <font>
      <sz val="11"/>
      <name val="Calibri"/>
      <family val="2"/>
      <charset val="1"/>
    </font>
    <font>
      <sz val="10"/>
      <color rgb="FF00B050"/>
      <name val="Arial"/>
      <family val="2"/>
    </font>
    <font>
      <sz val="10"/>
      <color rgb="FF0070C0"/>
      <name val="Arial"/>
      <family val="2"/>
    </font>
    <font>
      <sz val="10"/>
      <color rgb="FFFF0000"/>
      <name val="Arial"/>
      <family val="2"/>
    </font>
    <font>
      <sz val="9"/>
      <color indexed="81"/>
      <name val="Tahoma"/>
      <family val="2"/>
    </font>
    <font>
      <b/>
      <sz val="9"/>
      <color indexed="81"/>
      <name val="Tahoma"/>
      <family val="2"/>
    </font>
    <font>
      <b/>
      <sz val="9"/>
      <color rgb="FF00B050"/>
      <name val="Arial"/>
      <family val="2"/>
    </font>
    <font>
      <sz val="10"/>
      <color theme="1"/>
      <name val="Arial"/>
      <family val="2"/>
    </font>
    <font>
      <b/>
      <sz val="9"/>
      <name val="Arial"/>
      <family val="2"/>
    </font>
    <font>
      <b/>
      <sz val="10"/>
      <name val="Calibri"/>
      <family val="2"/>
    </font>
    <font>
      <b/>
      <sz val="11"/>
      <color rgb="FFFFFFFF"/>
      <name val="Wingdings"/>
      <charset val="2"/>
    </font>
    <font>
      <sz val="11"/>
      <color theme="0"/>
      <name val="Wingdings"/>
      <charset val="2"/>
    </font>
    <font>
      <b/>
      <sz val="11"/>
      <color theme="1"/>
      <name val="Calibri"/>
      <family val="2"/>
    </font>
    <font>
      <sz val="9"/>
      <color rgb="FFFF0000"/>
      <name val="Arial"/>
      <family val="2"/>
    </font>
    <font>
      <b/>
      <sz val="10"/>
      <color theme="0"/>
      <name val="Arial"/>
      <family val="2"/>
    </font>
    <font>
      <b/>
      <sz val="9"/>
      <color rgb="FFC00000"/>
      <name val="Arial"/>
      <family val="2"/>
    </font>
  </fonts>
  <fills count="31">
    <fill>
      <patternFill patternType="none"/>
    </fill>
    <fill>
      <patternFill patternType="gray125"/>
    </fill>
    <fill>
      <patternFill patternType="solid">
        <fgColor rgb="FF1F3864"/>
        <bgColor rgb="FF404040"/>
      </patternFill>
    </fill>
    <fill>
      <patternFill patternType="solid">
        <fgColor rgb="FF2E5496"/>
        <bgColor rgb="FF1F3864"/>
      </patternFill>
    </fill>
    <fill>
      <patternFill patternType="solid">
        <fgColor rgb="FF2F7D32"/>
        <bgColor rgb="FF008000"/>
      </patternFill>
    </fill>
    <fill>
      <patternFill patternType="solid">
        <fgColor rgb="FF7030A0"/>
        <bgColor rgb="FF993366"/>
      </patternFill>
    </fill>
    <fill>
      <patternFill patternType="solid">
        <fgColor theme="5" tint="0.39997558519241921"/>
        <bgColor rgb="FF993366"/>
      </patternFill>
    </fill>
    <fill>
      <patternFill patternType="solid">
        <fgColor theme="9" tint="0.79998168889431442"/>
        <bgColor rgb="FF008000"/>
      </patternFill>
    </fill>
    <fill>
      <patternFill patternType="solid">
        <fgColor theme="8" tint="-0.249977111117893"/>
        <bgColor indexed="64"/>
      </patternFill>
    </fill>
    <fill>
      <patternFill patternType="solid">
        <fgColor theme="0" tint="-0.14999847407452621"/>
        <bgColor rgb="FF1F3864"/>
      </patternFill>
    </fill>
    <fill>
      <patternFill patternType="solid">
        <fgColor theme="8" tint="-0.249977111117893"/>
        <bgColor rgb="FF1F3864"/>
      </patternFill>
    </fill>
    <fill>
      <patternFill patternType="solid">
        <fgColor theme="8" tint="0.79998168889431442"/>
        <bgColor rgb="FF1F3864"/>
      </patternFill>
    </fill>
    <fill>
      <patternFill patternType="solid">
        <fgColor theme="4" tint="0.79998168889431442"/>
        <bgColor rgb="FF404040"/>
      </patternFill>
    </fill>
    <fill>
      <patternFill patternType="solid">
        <fgColor rgb="FF1F4E79"/>
      </patternFill>
    </fill>
    <fill>
      <patternFill patternType="solid">
        <fgColor rgb="FF404040"/>
      </patternFill>
    </fill>
    <fill>
      <patternFill patternType="solid">
        <fgColor rgb="FFDCE6F1"/>
      </patternFill>
    </fill>
    <fill>
      <patternFill patternType="solid">
        <fgColor rgb="FF2E7D32"/>
      </patternFill>
    </fill>
    <fill>
      <patternFill patternType="solid">
        <fgColor rgb="FFE2EFDA"/>
      </patternFill>
    </fill>
    <fill>
      <patternFill patternType="solid">
        <fgColor theme="6" tint="0.79998168889431442"/>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3" tint="-0.249977111117893"/>
        <bgColor indexed="64"/>
      </patternFill>
    </fill>
    <fill>
      <patternFill patternType="solid">
        <fgColor theme="3"/>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7030A0"/>
        <bgColor indexed="64"/>
      </patternFill>
    </fill>
    <fill>
      <patternFill patternType="solid">
        <fgColor rgb="FFD6BBEB"/>
        <bgColor indexed="64"/>
      </patternFill>
    </fill>
    <fill>
      <patternFill patternType="solid">
        <fgColor rgb="FFE8D8F4"/>
        <bgColor indexed="64"/>
      </patternFill>
    </fill>
    <fill>
      <patternFill patternType="solid">
        <fgColor theme="5" tint="-0.249977111117893"/>
        <bgColor indexed="64"/>
      </patternFill>
    </fill>
    <fill>
      <patternFill patternType="solid">
        <fgColor theme="5" tint="-0.249977111117893"/>
        <bgColor rgb="FF993366"/>
      </patternFill>
    </fill>
    <fill>
      <patternFill patternType="solid">
        <fgColor rgb="FFC00000"/>
        <bgColor rgb="FF404040"/>
      </patternFill>
    </fill>
  </fills>
  <borders count="83">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bottom style="thin">
        <color rgb="FFBFBFBF"/>
      </bottom>
      <diagonal/>
    </border>
    <border>
      <left style="thin">
        <color rgb="FFBFBFBF"/>
      </left>
      <right style="thin">
        <color rgb="FFBFBFBF"/>
      </right>
      <top/>
      <bottom style="thin">
        <color rgb="FFBFBFBF"/>
      </bottom>
      <diagonal/>
    </border>
    <border>
      <left/>
      <right/>
      <top/>
      <bottom style="thin">
        <color rgb="FFBFBFBF"/>
      </bottom>
      <diagonal/>
    </border>
    <border>
      <left style="thin">
        <color rgb="FFBFBFBF"/>
      </left>
      <right style="thin">
        <color indexed="64"/>
      </right>
      <top style="thin">
        <color rgb="FFBFBFBF"/>
      </top>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indexed="64"/>
      </left>
      <right style="thin">
        <color indexed="64"/>
      </right>
      <top style="thin">
        <color indexed="64"/>
      </top>
      <bottom style="thin">
        <color rgb="FFBFBFBF"/>
      </bottom>
      <diagonal/>
    </border>
    <border>
      <left style="thin">
        <color rgb="FFBFBFBF"/>
      </left>
      <right style="thin">
        <color indexed="64"/>
      </right>
      <top style="thin">
        <color indexed="64"/>
      </top>
      <bottom style="thin">
        <color rgb="FFBFBFBF"/>
      </bottom>
      <diagonal/>
    </border>
    <border>
      <left/>
      <right style="thin">
        <color rgb="FFBFBFBF"/>
      </right>
      <top style="thin">
        <color indexed="64"/>
      </top>
      <bottom style="thin">
        <color rgb="FFBFBFBF"/>
      </bottom>
      <diagonal/>
    </border>
    <border>
      <left style="thin">
        <color rgb="FFBFBFBF"/>
      </left>
      <right style="thin">
        <color rgb="FFBFBFBF"/>
      </right>
      <top style="thin">
        <color indexed="64"/>
      </top>
      <bottom style="thin">
        <color rgb="FFBFBFBF"/>
      </bottom>
      <diagonal/>
    </border>
    <border>
      <left style="thin">
        <color indexed="64"/>
      </left>
      <right style="thin">
        <color indexed="64"/>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BFBFBF"/>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rgb="FFBFBFBF"/>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rgb="FFBFBFBF"/>
      </right>
      <top style="thin">
        <color indexed="64"/>
      </top>
      <bottom/>
      <diagonal/>
    </border>
    <border>
      <left style="thin">
        <color indexed="64"/>
      </left>
      <right/>
      <top/>
      <bottom style="thin">
        <color indexed="64"/>
      </bottom>
      <diagonal/>
    </border>
    <border>
      <left/>
      <right style="thin">
        <color rgb="FFBFBFBF"/>
      </right>
      <top/>
      <bottom style="thin">
        <color indexed="64"/>
      </bottom>
      <diagonal/>
    </border>
    <border>
      <left style="thin">
        <color indexed="64"/>
      </left>
      <right style="thin">
        <color indexed="64"/>
      </right>
      <top style="thin">
        <color rgb="FFBFBFBF"/>
      </top>
      <bottom/>
      <diagonal/>
    </border>
    <border>
      <left/>
      <right/>
      <top style="thin">
        <color rgb="FFBFBFBF"/>
      </top>
      <bottom/>
      <diagonal/>
    </border>
    <border>
      <left/>
      <right/>
      <top style="thin">
        <color indexed="64"/>
      </top>
      <bottom style="thin">
        <color rgb="FFBFBFBF"/>
      </bottom>
      <diagonal/>
    </border>
    <border>
      <left/>
      <right/>
      <top style="thin">
        <color rgb="FFBFBFBF"/>
      </top>
      <bottom style="thin">
        <color rgb="FFBFBFBF"/>
      </bottom>
      <diagonal/>
    </border>
    <border>
      <left style="thin">
        <color rgb="FFBFBFBF"/>
      </left>
      <right/>
      <top/>
      <bottom style="thin">
        <color rgb="FFBFBFBF"/>
      </bottom>
      <diagonal/>
    </border>
    <border>
      <left style="thin">
        <color rgb="FFBFBFBF"/>
      </left>
      <right/>
      <top style="thin">
        <color rgb="FFBFBFBF"/>
      </top>
      <bottom style="thin">
        <color indexed="64"/>
      </bottom>
      <diagonal/>
    </border>
    <border>
      <left style="thin">
        <color rgb="FFBFBFBF"/>
      </left>
      <right style="thin">
        <color indexed="64"/>
      </right>
      <top/>
      <bottom/>
      <diagonal/>
    </border>
    <border>
      <left style="thin">
        <color rgb="FFBFBFBF"/>
      </left>
      <right/>
      <top/>
      <bottom/>
      <diagonal/>
    </border>
    <border>
      <left style="thin">
        <color rgb="FFBFBFBF"/>
      </left>
      <right style="thin">
        <color rgb="FFBFBFBF"/>
      </right>
      <top/>
      <bottom/>
      <diagonal/>
    </border>
    <border>
      <left/>
      <right style="thin">
        <color rgb="FFBFBFBF"/>
      </right>
      <top/>
      <bottom/>
      <diagonal/>
    </border>
    <border>
      <left/>
      <right style="thin">
        <color indexed="64"/>
      </right>
      <top style="thin">
        <color rgb="FFBFBFBF"/>
      </top>
      <bottom style="thin">
        <color rgb="FFBFBFBF"/>
      </bottom>
      <diagonal/>
    </border>
    <border>
      <left/>
      <right style="thin">
        <color indexed="64"/>
      </right>
      <top style="thin">
        <color indexed="64"/>
      </top>
      <bottom style="thin">
        <color rgb="FFBFBFBF"/>
      </bottom>
      <diagonal/>
    </border>
    <border>
      <left style="thin">
        <color indexed="64"/>
      </left>
      <right/>
      <top/>
      <bottom/>
      <diagonal/>
    </border>
    <border>
      <left/>
      <right style="thin">
        <color rgb="FFBFBFBF"/>
      </right>
      <top/>
      <bottom style="thin">
        <color rgb="FFBFBFBF"/>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rgb="FFBFBFBF"/>
      </left>
      <right style="thin">
        <color indexed="64"/>
      </right>
      <top style="thin">
        <color rgb="FFBFBFBF"/>
      </top>
      <bottom style="thin">
        <color theme="0" tint="-0.249977111117893"/>
      </bottom>
      <diagonal/>
    </border>
    <border>
      <left style="thin">
        <color rgb="FFBFBFBF"/>
      </left>
      <right style="thin">
        <color rgb="FFBFBFBF"/>
      </right>
      <top style="thin">
        <color rgb="FFBFBFBF"/>
      </top>
      <bottom style="thin">
        <color theme="0" tint="-0.249977111117893"/>
      </bottom>
      <diagonal/>
    </border>
    <border>
      <left style="thin">
        <color indexed="64"/>
      </left>
      <right style="thin">
        <color rgb="FFBFBFBF"/>
      </right>
      <top style="thin">
        <color rgb="FFBFBFBF"/>
      </top>
      <bottom style="thin">
        <color theme="0" tint="-0.249977111117893"/>
      </bottom>
      <diagonal/>
    </border>
    <border>
      <left style="thin">
        <color rgb="FFBFBFBF"/>
      </left>
      <right style="thin">
        <color theme="0" tint="-0.249977111117893"/>
      </right>
      <top style="thin">
        <color rgb="FFBFBFBF"/>
      </top>
      <bottom style="thin">
        <color theme="0" tint="-0.249977111117893"/>
      </bottom>
      <diagonal/>
    </border>
    <border>
      <left style="thin">
        <color indexed="64"/>
      </left>
      <right/>
      <top style="thin">
        <color rgb="FFBFBFBF"/>
      </top>
      <bottom/>
      <diagonal/>
    </border>
    <border>
      <left style="thin">
        <color indexed="64"/>
      </left>
      <right style="thin">
        <color rgb="FFBFBFBF"/>
      </right>
      <top/>
      <bottom style="thin">
        <color rgb="FFBFBFBF"/>
      </bottom>
      <diagonal/>
    </border>
    <border>
      <left style="thin">
        <color indexed="64"/>
      </left>
      <right style="thin">
        <color rgb="FFBFBFBF"/>
      </right>
      <top style="thin">
        <color indexed="64"/>
      </top>
      <bottom style="thin">
        <color rgb="FFBFBFBF"/>
      </bottom>
      <diagonal/>
    </border>
    <border>
      <left style="thin">
        <color indexed="64"/>
      </left>
      <right style="thin">
        <color rgb="FFBFBFBF"/>
      </right>
      <top style="thin">
        <color rgb="FFBFBFBF"/>
      </top>
      <bottom style="thin">
        <color theme="2" tint="-0.249977111117893"/>
      </bottom>
      <diagonal/>
    </border>
    <border>
      <left style="thin">
        <color indexed="64"/>
      </left>
      <right style="thin">
        <color rgb="FFBFBFBF"/>
      </right>
      <top/>
      <bottom style="thin">
        <color theme="2" tint="-0.249977111117893"/>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rgb="FFBFBFBF"/>
      </left>
      <right style="thin">
        <color rgb="FFBFBFBF"/>
      </right>
      <top style="thin">
        <color rgb="FFBFBFBF"/>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right style="thin">
        <color theme="2" tint="-0.249977111117893"/>
      </right>
      <top style="thin">
        <color rgb="FFBFBFBF"/>
      </top>
      <bottom/>
      <diagonal/>
    </border>
    <border>
      <left/>
      <right style="thin">
        <color theme="2" tint="-0.249977111117893"/>
      </right>
      <top/>
      <bottom style="thin">
        <color theme="2" tint="-0.249977111117893"/>
      </bottom>
      <diagonal/>
    </border>
    <border>
      <left style="thin">
        <color theme="2" tint="-0.249977111117893"/>
      </left>
      <right style="thin">
        <color theme="2" tint="-0.249977111117893"/>
      </right>
      <top/>
      <bottom/>
      <diagonal/>
    </border>
    <border>
      <left style="thin">
        <color theme="2" tint="-0.249977111117893"/>
      </left>
      <right style="thin">
        <color theme="2" tint="-0.249977111117893"/>
      </right>
      <top/>
      <bottom style="thin">
        <color theme="2" tint="-0.249977111117893"/>
      </bottom>
      <diagonal/>
    </border>
    <border>
      <left style="thin">
        <color rgb="FFBFBFBF"/>
      </left>
      <right style="thin">
        <color theme="2" tint="-0.249977111117893"/>
      </right>
      <top style="thin">
        <color rgb="FFBFBFBF"/>
      </top>
      <bottom/>
      <diagonal/>
    </border>
    <border>
      <left style="thin">
        <color rgb="FFBFBFBF"/>
      </left>
      <right style="thin">
        <color theme="2" tint="-0.249977111117893"/>
      </right>
      <top/>
      <bottom/>
      <diagonal/>
    </border>
    <border>
      <left style="thin">
        <color rgb="FFBFBFBF"/>
      </left>
      <right style="thin">
        <color theme="2" tint="-0.249977111117893"/>
      </right>
      <top/>
      <bottom style="thin">
        <color rgb="FFBFBFBF"/>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top style="thin">
        <color theme="2" tint="-9.9978637043366805E-2"/>
      </top>
      <bottom/>
      <diagonal/>
    </border>
    <border>
      <left style="thin">
        <color rgb="FFBFBFBF"/>
      </left>
      <right style="thin">
        <color rgb="FFBFBFBF"/>
      </right>
      <top style="thin">
        <color indexed="64"/>
      </top>
      <bottom/>
      <diagonal/>
    </border>
    <border>
      <left/>
      <right style="thin">
        <color indexed="64"/>
      </right>
      <top/>
      <bottom style="thin">
        <color rgb="FFBFBFBF"/>
      </bottom>
      <diagonal/>
    </border>
    <border>
      <left style="thin">
        <color indexed="64"/>
      </left>
      <right style="thin">
        <color indexed="64"/>
      </right>
      <top style="thin">
        <color indexed="64"/>
      </top>
      <bottom/>
      <diagonal/>
    </border>
    <border>
      <left style="thin">
        <color indexed="64"/>
      </left>
      <right style="thin">
        <color theme="2" tint="-9.9978637043366805E-2"/>
      </right>
      <top style="thin">
        <color theme="2" tint="-9.9978637043366805E-2"/>
      </top>
      <bottom style="thin">
        <color theme="2" tint="-9.9978637043366805E-2"/>
      </bottom>
      <diagonal/>
    </border>
    <border>
      <left style="thin">
        <color indexed="64"/>
      </left>
      <right/>
      <top style="thin">
        <color indexed="64"/>
      </top>
      <bottom style="thin">
        <color rgb="FFBFBFBF"/>
      </bottom>
      <diagonal/>
    </border>
    <border>
      <left style="thin">
        <color indexed="64"/>
      </left>
      <right/>
      <top style="thin">
        <color theme="2" tint="-9.9978637043366805E-2"/>
      </top>
      <bottom style="thin">
        <color theme="2" tint="-9.9978637043366805E-2"/>
      </bottom>
      <diagonal/>
    </border>
    <border>
      <left style="thin">
        <color indexed="64"/>
      </left>
      <right/>
      <top style="thin">
        <color theme="2" tint="-9.9978637043366805E-2"/>
      </top>
      <bottom style="thin">
        <color indexed="64"/>
      </bottom>
      <diagonal/>
    </border>
    <border>
      <left style="thin">
        <color rgb="FFBFBFBF"/>
      </left>
      <right style="thin">
        <color indexed="64"/>
      </right>
      <top style="thin">
        <color indexed="64"/>
      </top>
      <bottom/>
      <diagonal/>
    </border>
    <border>
      <left style="thin">
        <color theme="2" tint="-0.249977111117893"/>
      </left>
      <right style="thin">
        <color theme="2" tint="-0.249977111117893"/>
      </right>
      <top style="thin">
        <color theme="2" tint="-0.249977111117893"/>
      </top>
      <bottom style="thin">
        <color indexed="64"/>
      </bottom>
      <diagonal/>
    </border>
    <border>
      <left style="thin">
        <color indexed="64"/>
      </left>
      <right style="thin">
        <color indexed="64"/>
      </right>
      <top style="thin">
        <color theme="2" tint="-9.9978637043366805E-2"/>
      </top>
      <bottom style="thin">
        <color theme="2" tint="-9.9978637043366805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rgb="FFBFBFBF"/>
      </left>
      <right style="thin">
        <color indexed="64"/>
      </right>
      <top/>
      <bottom style="thin">
        <color indexed="64"/>
      </bottom>
      <diagonal/>
    </border>
    <border>
      <left/>
      <right style="thin">
        <color indexed="64"/>
      </right>
      <top/>
      <bottom/>
      <diagonal/>
    </border>
  </borders>
  <cellStyleXfs count="1">
    <xf numFmtId="0" fontId="0" fillId="0" borderId="0"/>
  </cellStyleXfs>
  <cellXfs count="353">
    <xf numFmtId="0" fontId="0" fillId="0" borderId="0" xfId="0"/>
    <xf numFmtId="164" fontId="4" fillId="0" borderId="4"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164" fontId="4" fillId="0" borderId="15" xfId="0" applyNumberFormat="1" applyFont="1" applyBorder="1" applyAlignment="1">
      <alignment horizontal="center" vertical="center" wrapText="1"/>
    </xf>
    <xf numFmtId="164" fontId="4" fillId="0" borderId="14" xfId="0" applyNumberFormat="1" applyFont="1" applyBorder="1" applyAlignment="1">
      <alignment horizontal="center" vertical="center" wrapText="1"/>
    </xf>
    <xf numFmtId="164" fontId="4" fillId="0" borderId="23" xfId="0" applyNumberFormat="1" applyFont="1" applyBorder="1" applyAlignment="1">
      <alignment horizontal="center" vertical="center" wrapText="1"/>
    </xf>
    <xf numFmtId="164" fontId="4" fillId="0" borderId="30" xfId="0" applyNumberFormat="1" applyFont="1" applyBorder="1" applyAlignment="1">
      <alignment horizontal="center" vertical="center" wrapText="1"/>
    </xf>
    <xf numFmtId="164" fontId="4" fillId="0" borderId="32" xfId="0" applyNumberFormat="1" applyFont="1" applyBorder="1" applyAlignment="1">
      <alignment horizontal="center" vertical="center" wrapText="1"/>
    </xf>
    <xf numFmtId="0" fontId="7" fillId="6" borderId="20" xfId="0" applyFont="1" applyFill="1" applyBorder="1" applyAlignment="1">
      <alignment horizontal="left" vertical="center" wrapText="1"/>
    </xf>
    <xf numFmtId="164" fontId="4" fillId="0" borderId="11" xfId="0" applyNumberFormat="1" applyFont="1" applyBorder="1" applyAlignment="1">
      <alignment horizontal="center" vertical="center" wrapText="1"/>
    </xf>
    <xf numFmtId="164" fontId="4" fillId="0" borderId="10" xfId="0" applyNumberFormat="1" applyFont="1" applyBorder="1" applyAlignment="1">
      <alignment horizontal="center" vertical="center" wrapText="1"/>
    </xf>
    <xf numFmtId="0" fontId="3" fillId="2" borderId="34" xfId="0" applyFont="1" applyFill="1" applyBorder="1" applyAlignment="1">
      <alignment horizontal="left" vertical="center"/>
    </xf>
    <xf numFmtId="164" fontId="5" fillId="0" borderId="4" xfId="0" applyNumberFormat="1" applyFont="1" applyBorder="1" applyAlignment="1">
      <alignment horizontal="center" vertical="center" wrapText="1"/>
    </xf>
    <xf numFmtId="164" fontId="5" fillId="0" borderId="3" xfId="0" applyNumberFormat="1" applyFont="1" applyBorder="1" applyAlignment="1">
      <alignment horizontal="center" vertical="center" wrapText="1"/>
    </xf>
    <xf numFmtId="0" fontId="8" fillId="0" borderId="3" xfId="0" applyFont="1" applyBorder="1" applyAlignment="1">
      <alignment vertical="center"/>
    </xf>
    <xf numFmtId="0" fontId="14" fillId="0" borderId="3" xfId="0" applyFont="1" applyBorder="1" applyAlignment="1">
      <alignment vertical="center"/>
    </xf>
    <xf numFmtId="164" fontId="4" fillId="0" borderId="39" xfId="0" applyNumberFormat="1" applyFont="1" applyBorder="1" applyAlignment="1">
      <alignment horizontal="center" vertical="center" wrapText="1"/>
    </xf>
    <xf numFmtId="0" fontId="0" fillId="0" borderId="41" xfId="0" applyBorder="1"/>
    <xf numFmtId="0" fontId="6" fillId="2" borderId="10" xfId="0" applyFont="1" applyFill="1" applyBorder="1" applyAlignment="1">
      <alignment horizontal="center" vertical="center" wrapText="1"/>
    </xf>
    <xf numFmtId="0" fontId="8" fillId="0" borderId="7" xfId="0" applyFont="1" applyBorder="1" applyAlignment="1">
      <alignment vertical="center"/>
    </xf>
    <xf numFmtId="0" fontId="3" fillId="2" borderId="33" xfId="0" applyFont="1" applyFill="1" applyBorder="1" applyAlignment="1">
      <alignment horizontal="center" vertical="center" wrapText="1"/>
    </xf>
    <xf numFmtId="164" fontId="4" fillId="0" borderId="46" xfId="0" applyNumberFormat="1" applyFont="1" applyBorder="1" applyAlignment="1">
      <alignment horizontal="center" vertical="center" wrapText="1"/>
    </xf>
    <xf numFmtId="0" fontId="17" fillId="0" borderId="2" xfId="0" applyFont="1" applyBorder="1" applyAlignment="1">
      <alignment horizontal="left" vertical="top" wrapText="1"/>
    </xf>
    <xf numFmtId="0" fontId="17" fillId="0" borderId="2" xfId="0" applyFont="1" applyBorder="1" applyAlignment="1">
      <alignment horizontal="center" vertical="center" wrapText="1"/>
    </xf>
    <xf numFmtId="0" fontId="3" fillId="14" borderId="47" xfId="0" applyFont="1" applyFill="1" applyBorder="1" applyAlignment="1">
      <alignment horizontal="center" vertical="center" wrapText="1"/>
    </xf>
    <xf numFmtId="0" fontId="3" fillId="14" borderId="48" xfId="0" applyFont="1" applyFill="1" applyBorder="1" applyAlignment="1">
      <alignment horizontal="center" vertical="center" wrapText="1"/>
    </xf>
    <xf numFmtId="0" fontId="0" fillId="0" borderId="0" xfId="0" applyAlignment="1">
      <alignment wrapText="1"/>
    </xf>
    <xf numFmtId="0" fontId="17" fillId="0" borderId="8" xfId="0" applyFont="1" applyBorder="1" applyAlignment="1">
      <alignment horizontal="center" vertical="center" wrapText="1"/>
    </xf>
    <xf numFmtId="0" fontId="17" fillId="0" borderId="2" xfId="0" applyFont="1" applyBorder="1" applyAlignment="1">
      <alignment horizontal="left" vertical="center" wrapText="1"/>
    </xf>
    <xf numFmtId="0" fontId="17" fillId="18" borderId="2" xfId="0" applyFont="1" applyFill="1" applyBorder="1" applyAlignment="1">
      <alignment horizontal="center" vertical="center" wrapText="1"/>
    </xf>
    <xf numFmtId="0" fontId="21" fillId="0" borderId="2" xfId="0" applyFont="1" applyBorder="1" applyAlignment="1">
      <alignment horizontal="left" vertical="top" wrapText="1"/>
    </xf>
    <xf numFmtId="0" fontId="22" fillId="0" borderId="2" xfId="0" applyFont="1" applyBorder="1" applyAlignment="1">
      <alignment horizontal="left" vertical="top" wrapText="1"/>
    </xf>
    <xf numFmtId="0" fontId="23" fillId="18" borderId="2" xfId="0" applyFont="1" applyFill="1" applyBorder="1" applyAlignment="1">
      <alignment horizontal="center" vertical="center" wrapText="1"/>
    </xf>
    <xf numFmtId="0" fontId="17" fillId="18" borderId="2" xfId="0" applyFont="1" applyFill="1" applyBorder="1" applyAlignment="1">
      <alignment horizontal="left" vertical="center" wrapText="1"/>
    </xf>
    <xf numFmtId="0" fontId="17" fillId="0" borderId="2" xfId="0" quotePrefix="1" applyFont="1" applyBorder="1" applyAlignment="1">
      <alignment horizontal="left" vertical="center" wrapText="1"/>
    </xf>
    <xf numFmtId="0" fontId="17" fillId="0" borderId="8" xfId="0" applyFont="1" applyBorder="1" applyAlignment="1">
      <alignment horizontal="left" vertical="center" wrapText="1"/>
    </xf>
    <xf numFmtId="164" fontId="5" fillId="0" borderId="50" xfId="0" applyNumberFormat="1" applyFont="1" applyBorder="1" applyAlignment="1">
      <alignment horizontal="center" vertical="center" wrapText="1"/>
    </xf>
    <xf numFmtId="164" fontId="5" fillId="0" borderId="49" xfId="0" applyNumberFormat="1" applyFont="1" applyBorder="1" applyAlignment="1">
      <alignment horizontal="center" vertical="center" wrapText="1"/>
    </xf>
    <xf numFmtId="0" fontId="17" fillId="0" borderId="12" xfId="0" applyFont="1" applyBorder="1" applyAlignment="1">
      <alignment horizontal="center" vertical="center" wrapText="1"/>
    </xf>
    <xf numFmtId="0" fontId="17" fillId="0" borderId="41" xfId="0" applyFont="1" applyBorder="1" applyAlignment="1">
      <alignment horizontal="center" vertical="center" wrapText="1"/>
    </xf>
    <xf numFmtId="0" fontId="17" fillId="18" borderId="12" xfId="0" applyFont="1" applyFill="1" applyBorder="1" applyAlignment="1">
      <alignment horizontal="left" vertical="center" wrapText="1"/>
    </xf>
    <xf numFmtId="0" fontId="17" fillId="18" borderId="8" xfId="0" applyFont="1" applyFill="1" applyBorder="1" applyAlignment="1">
      <alignment horizontal="left" vertical="center" wrapText="1"/>
    </xf>
    <xf numFmtId="0" fontId="17" fillId="0" borderId="12" xfId="0" applyFont="1" applyBorder="1" applyAlignment="1">
      <alignment horizontal="left" vertical="center" wrapText="1"/>
    </xf>
    <xf numFmtId="0" fontId="17" fillId="18" borderId="41" xfId="0" applyFont="1" applyFill="1" applyBorder="1" applyAlignment="1">
      <alignment horizontal="center" vertical="center" wrapText="1"/>
    </xf>
    <xf numFmtId="0" fontId="17" fillId="18" borderId="41" xfId="0" applyFont="1" applyFill="1" applyBorder="1" applyAlignment="1">
      <alignment horizontal="left" vertical="center" wrapText="1"/>
    </xf>
    <xf numFmtId="0" fontId="17" fillId="0" borderId="2" xfId="0" quotePrefix="1" applyFont="1" applyBorder="1" applyAlignment="1">
      <alignment horizontal="left" vertical="top" wrapText="1"/>
    </xf>
    <xf numFmtId="0" fontId="18" fillId="0" borderId="2" xfId="0" applyFont="1" applyBorder="1" applyAlignment="1">
      <alignment horizontal="left" vertical="center" wrapText="1"/>
    </xf>
    <xf numFmtId="0" fontId="27" fillId="0" borderId="41" xfId="0" applyFont="1" applyBorder="1" applyAlignment="1">
      <alignment horizontal="center" vertical="center"/>
    </xf>
    <xf numFmtId="0" fontId="17" fillId="18" borderId="2" xfId="0" applyFont="1" applyFill="1" applyBorder="1" applyAlignment="1">
      <alignment horizontal="left" vertical="top" wrapText="1"/>
    </xf>
    <xf numFmtId="0" fontId="17" fillId="0" borderId="1" xfId="0" applyFont="1" applyBorder="1" applyAlignment="1">
      <alignment horizontal="left" vertical="center" wrapText="1"/>
    </xf>
    <xf numFmtId="0" fontId="17" fillId="0" borderId="4" xfId="0" applyFont="1" applyBorder="1" applyAlignment="1">
      <alignment horizontal="left" vertical="top" wrapText="1"/>
    </xf>
    <xf numFmtId="0" fontId="17" fillId="0" borderId="11" xfId="0" applyFont="1" applyBorder="1" applyAlignment="1">
      <alignment horizontal="left" vertical="top" wrapText="1"/>
    </xf>
    <xf numFmtId="0" fontId="17" fillId="0" borderId="8" xfId="0" applyFont="1" applyBorder="1" applyAlignment="1">
      <alignment horizontal="left" vertical="top" wrapText="1"/>
    </xf>
    <xf numFmtId="0" fontId="17" fillId="0" borderId="58" xfId="0" applyFont="1" applyBorder="1" applyAlignment="1">
      <alignment horizontal="left" vertical="top" wrapText="1"/>
    </xf>
    <xf numFmtId="0" fontId="17" fillId="18" borderId="9" xfId="0" applyFont="1" applyFill="1" applyBorder="1" applyAlignment="1">
      <alignment vertical="center" wrapText="1"/>
    </xf>
    <xf numFmtId="0" fontId="17" fillId="18" borderId="8" xfId="0" applyFont="1" applyFill="1" applyBorder="1" applyAlignment="1">
      <alignment vertical="center" wrapText="1"/>
    </xf>
    <xf numFmtId="0" fontId="17" fillId="0" borderId="1" xfId="0" applyFont="1" applyBorder="1" applyAlignment="1">
      <alignment horizontal="left" vertical="top" wrapText="1"/>
    </xf>
    <xf numFmtId="0" fontId="17" fillId="0" borderId="1" xfId="0" quotePrefix="1" applyFont="1" applyBorder="1" applyAlignment="1">
      <alignment horizontal="left" vertical="top" wrapText="1"/>
    </xf>
    <xf numFmtId="0" fontId="17" fillId="0" borderId="1" xfId="0" applyFont="1" applyBorder="1" applyAlignment="1">
      <alignment horizontal="center" vertical="center" wrapText="1"/>
    </xf>
    <xf numFmtId="0" fontId="17" fillId="19" borderId="2" xfId="0" applyFont="1" applyFill="1" applyBorder="1" applyAlignment="1">
      <alignment horizontal="center" vertical="center" wrapText="1"/>
    </xf>
    <xf numFmtId="0" fontId="17" fillId="0" borderId="4" xfId="0" applyFont="1" applyBorder="1" applyAlignment="1">
      <alignment horizontal="left" vertical="center" wrapText="1"/>
    </xf>
    <xf numFmtId="0" fontId="17" fillId="0" borderId="36" xfId="0" applyFont="1" applyBorder="1" applyAlignment="1">
      <alignment horizontal="left" vertical="center" wrapText="1"/>
    </xf>
    <xf numFmtId="0" fontId="17" fillId="0" borderId="46" xfId="0" applyFont="1" applyBorder="1" applyAlignment="1">
      <alignment horizontal="left" vertical="center" wrapText="1"/>
    </xf>
    <xf numFmtId="0" fontId="18" fillId="19" borderId="2" xfId="0" applyFont="1" applyFill="1" applyBorder="1" applyAlignment="1">
      <alignment horizontal="center" vertical="center" wrapText="1"/>
    </xf>
    <xf numFmtId="0" fontId="17" fillId="0" borderId="8" xfId="0" quotePrefix="1" applyFont="1" applyBorder="1" applyAlignment="1">
      <alignment horizontal="left" vertical="top" wrapText="1"/>
    </xf>
    <xf numFmtId="0" fontId="17" fillId="0" borderId="68" xfId="0" applyFont="1" applyBorder="1" applyAlignment="1">
      <alignment horizontal="center" vertical="center" wrapText="1"/>
    </xf>
    <xf numFmtId="0" fontId="17" fillId="0" borderId="68" xfId="0" quotePrefix="1" applyFont="1" applyBorder="1" applyAlignment="1">
      <alignment horizontal="left" vertical="center" wrapText="1"/>
    </xf>
    <xf numFmtId="0" fontId="17" fillId="0" borderId="68" xfId="0" applyFont="1" applyBorder="1" applyAlignment="1">
      <alignment horizontal="left" vertical="center" wrapText="1"/>
    </xf>
    <xf numFmtId="0" fontId="17" fillId="18" borderId="2" xfId="0" quotePrefix="1" applyFont="1" applyFill="1" applyBorder="1" applyAlignment="1">
      <alignment horizontal="left" vertical="top" wrapText="1"/>
    </xf>
    <xf numFmtId="0" fontId="17" fillId="0" borderId="4" xfId="0" quotePrefix="1" applyFont="1" applyBorder="1" applyAlignment="1">
      <alignment horizontal="left" vertical="center" wrapText="1"/>
    </xf>
    <xf numFmtId="0" fontId="23" fillId="18" borderId="2" xfId="0" applyFont="1" applyFill="1" applyBorder="1" applyAlignment="1">
      <alignment horizontal="left" vertical="center" wrapText="1"/>
    </xf>
    <xf numFmtId="0" fontId="31" fillId="8" borderId="47" xfId="0" applyFont="1" applyFill="1" applyBorder="1" applyAlignment="1">
      <alignment horizontal="center" vertical="center"/>
    </xf>
    <xf numFmtId="164" fontId="4" fillId="0" borderId="7" xfId="0" applyNumberFormat="1" applyFont="1" applyBorder="1" applyAlignment="1">
      <alignment horizontal="center" vertical="center" wrapText="1"/>
    </xf>
    <xf numFmtId="164" fontId="4" fillId="0" borderId="46" xfId="0" applyNumberFormat="1" applyFont="1" applyBorder="1" applyAlignment="1">
      <alignment horizontal="center" vertical="center"/>
    </xf>
    <xf numFmtId="164" fontId="4" fillId="0" borderId="46" xfId="0" applyNumberFormat="1" applyFont="1" applyBorder="1" applyAlignment="1">
      <alignment horizontal="left" vertical="center"/>
    </xf>
    <xf numFmtId="165" fontId="4" fillId="0" borderId="46" xfId="0" applyNumberFormat="1" applyFont="1" applyBorder="1" applyAlignment="1">
      <alignment horizontal="center" vertical="center"/>
    </xf>
    <xf numFmtId="165" fontId="4" fillId="0" borderId="46" xfId="0" applyNumberFormat="1" applyFont="1" applyBorder="1" applyAlignment="1">
      <alignment horizontal="left" vertical="center"/>
    </xf>
    <xf numFmtId="0" fontId="4" fillId="0" borderId="46" xfId="0" quotePrefix="1" applyFont="1" applyBorder="1" applyAlignment="1">
      <alignment horizontal="center" vertical="center"/>
    </xf>
    <xf numFmtId="0" fontId="17" fillId="27" borderId="2" xfId="0" applyFont="1" applyFill="1" applyBorder="1" applyAlignment="1">
      <alignment horizontal="center" vertical="center" wrapText="1"/>
    </xf>
    <xf numFmtId="0" fontId="18" fillId="27" borderId="2" xfId="0" applyFont="1" applyFill="1" applyBorder="1" applyAlignment="1">
      <alignment horizontal="center" vertical="center" wrapText="1"/>
    </xf>
    <xf numFmtId="164" fontId="4" fillId="0" borderId="77" xfId="0" applyNumberFormat="1" applyFont="1" applyBorder="1" applyAlignment="1">
      <alignment horizontal="center" vertical="center" wrapText="1"/>
    </xf>
    <xf numFmtId="164" fontId="4" fillId="0" borderId="32" xfId="0" applyNumberFormat="1" applyFont="1" applyBorder="1" applyAlignment="1">
      <alignment horizontal="left" vertical="center"/>
    </xf>
    <xf numFmtId="0" fontId="29" fillId="0" borderId="79" xfId="0" applyFont="1" applyBorder="1" applyAlignment="1">
      <alignment horizontal="left" vertical="center" wrapText="1"/>
    </xf>
    <xf numFmtId="0" fontId="7" fillId="6" borderId="2" xfId="0" applyFont="1" applyFill="1" applyBorder="1" applyAlignment="1">
      <alignment horizontal="left" vertical="center" wrapText="1"/>
    </xf>
    <xf numFmtId="0" fontId="7" fillId="29" borderId="74" xfId="0" applyFont="1" applyFill="1" applyBorder="1" applyAlignment="1">
      <alignment horizontal="left" vertical="center" wrapText="1"/>
    </xf>
    <xf numFmtId="0" fontId="18" fillId="19" borderId="80" xfId="0" applyFont="1" applyFill="1" applyBorder="1" applyAlignment="1">
      <alignment vertical="center" wrapText="1"/>
    </xf>
    <xf numFmtId="165" fontId="4" fillId="0" borderId="15" xfId="0" applyNumberFormat="1" applyFont="1" applyBorder="1" applyAlignment="1">
      <alignment horizontal="center" vertical="center"/>
    </xf>
    <xf numFmtId="165" fontId="4" fillId="0" borderId="32" xfId="0" applyNumberFormat="1" applyFont="1" applyBorder="1" applyAlignment="1">
      <alignment horizontal="center" vertical="center"/>
    </xf>
    <xf numFmtId="0" fontId="8" fillId="0" borderId="22" xfId="0" applyFont="1" applyBorder="1" applyAlignment="1">
      <alignment vertical="center"/>
    </xf>
    <xf numFmtId="164" fontId="5" fillId="0" borderId="10" xfId="0" applyNumberFormat="1" applyFont="1" applyBorder="1" applyAlignment="1">
      <alignment horizontal="center" vertical="center" wrapText="1"/>
    </xf>
    <xf numFmtId="164" fontId="5" fillId="0" borderId="11" xfId="0" applyNumberFormat="1" applyFont="1" applyBorder="1" applyAlignment="1">
      <alignment horizontal="center" vertical="center" wrapText="1"/>
    </xf>
    <xf numFmtId="164" fontId="5" fillId="0" borderId="46" xfId="0" applyNumberFormat="1" applyFont="1" applyBorder="1" applyAlignment="1">
      <alignment horizontal="center" vertical="center" wrapText="1"/>
    </xf>
    <xf numFmtId="164" fontId="5" fillId="0" borderId="7" xfId="0" applyNumberFormat="1" applyFont="1" applyBorder="1" applyAlignment="1">
      <alignment horizontal="center" vertical="center" wrapText="1"/>
    </xf>
    <xf numFmtId="164" fontId="4" fillId="0" borderId="81" xfId="0" applyNumberFormat="1" applyFont="1" applyBorder="1" applyAlignment="1">
      <alignment horizontal="center" vertical="center" wrapText="1"/>
    </xf>
    <xf numFmtId="164" fontId="5" fillId="0" borderId="19" xfId="0" applyNumberFormat="1" applyFont="1" applyBorder="1" applyAlignment="1">
      <alignment horizontal="center" vertical="center" wrapText="1"/>
    </xf>
    <xf numFmtId="164" fontId="5" fillId="0" borderId="18" xfId="0" applyNumberFormat="1" applyFont="1" applyBorder="1" applyAlignment="1">
      <alignment horizontal="center" vertical="center" wrapText="1"/>
    </xf>
    <xf numFmtId="0" fontId="17" fillId="18" borderId="46" xfId="0" applyFont="1" applyFill="1" applyBorder="1" applyAlignment="1">
      <alignment horizontal="center" vertical="center" wrapText="1"/>
    </xf>
    <xf numFmtId="0" fontId="18" fillId="15" borderId="2" xfId="0" applyFont="1" applyFill="1" applyBorder="1" applyAlignment="1">
      <alignment vertical="center" wrapText="1"/>
    </xf>
    <xf numFmtId="0" fontId="17" fillId="0" borderId="12" xfId="0" applyFont="1" applyBorder="1" applyAlignment="1">
      <alignment vertical="center" wrapText="1"/>
    </xf>
    <xf numFmtId="0" fontId="17" fillId="15" borderId="2" xfId="0" applyFont="1" applyFill="1" applyBorder="1" applyAlignment="1">
      <alignment vertical="center" wrapText="1"/>
    </xf>
    <xf numFmtId="0" fontId="8" fillId="0" borderId="1" xfId="0" applyFont="1" applyBorder="1" applyAlignment="1">
      <alignment vertical="center"/>
    </xf>
    <xf numFmtId="0" fontId="8" fillId="0" borderId="11" xfId="0" applyFont="1" applyBorder="1" applyAlignment="1">
      <alignment vertical="center"/>
    </xf>
    <xf numFmtId="0" fontId="8" fillId="0" borderId="46" xfId="0" applyFont="1" applyBorder="1" applyAlignment="1">
      <alignment vertical="center"/>
    </xf>
    <xf numFmtId="164" fontId="4" fillId="0" borderId="30" xfId="0" applyNumberFormat="1" applyFont="1" applyBorder="1" applyAlignment="1">
      <alignment horizontal="left" vertical="center"/>
    </xf>
    <xf numFmtId="0" fontId="14" fillId="0" borderId="2" xfId="0" applyFont="1" applyBorder="1" applyAlignment="1">
      <alignment vertical="center" wrapText="1"/>
    </xf>
    <xf numFmtId="0" fontId="8" fillId="0" borderId="2" xfId="0" applyFont="1" applyBorder="1" applyAlignment="1">
      <alignment vertical="center" wrapText="1"/>
    </xf>
    <xf numFmtId="0" fontId="8" fillId="0" borderId="8" xfId="0" applyFont="1" applyBorder="1" applyAlignment="1">
      <alignment vertical="center" wrapText="1"/>
    </xf>
    <xf numFmtId="0" fontId="8" fillId="0" borderId="22" xfId="0" applyFont="1" applyBorder="1" applyAlignment="1">
      <alignment vertical="center" wrapText="1"/>
    </xf>
    <xf numFmtId="164" fontId="4" fillId="0" borderId="46" xfId="0" applyNumberFormat="1" applyFont="1" applyBorder="1" applyAlignment="1">
      <alignment horizontal="left" vertical="center" wrapText="1"/>
    </xf>
    <xf numFmtId="164" fontId="4" fillId="0" borderId="15" xfId="0" applyNumberFormat="1" applyFont="1" applyBorder="1" applyAlignment="1">
      <alignment horizontal="left" vertical="center" wrapText="1"/>
    </xf>
    <xf numFmtId="164" fontId="4" fillId="0" borderId="32" xfId="0" applyNumberFormat="1" applyFont="1" applyBorder="1" applyAlignment="1">
      <alignment horizontal="left" vertical="center" wrapText="1"/>
    </xf>
    <xf numFmtId="0" fontId="34" fillId="30" borderId="11" xfId="0" applyFont="1" applyFill="1" applyBorder="1" applyAlignment="1">
      <alignment horizontal="center" vertical="center" wrapText="1"/>
    </xf>
    <xf numFmtId="0" fontId="35" fillId="0" borderId="4" xfId="0" applyFont="1" applyBorder="1" applyAlignment="1">
      <alignment vertical="center"/>
    </xf>
    <xf numFmtId="0" fontId="35" fillId="0" borderId="4" xfId="0" applyFont="1" applyBorder="1" applyAlignment="1">
      <alignment vertical="center" wrapText="1"/>
    </xf>
    <xf numFmtId="0" fontId="8" fillId="0" borderId="1" xfId="0" applyFont="1" applyBorder="1" applyAlignment="1">
      <alignment horizontal="center" vertical="center"/>
    </xf>
    <xf numFmtId="0" fontId="35" fillId="0" borderId="2" xfId="0" applyFont="1" applyBorder="1" applyAlignment="1">
      <alignment vertical="center" wrapText="1"/>
    </xf>
    <xf numFmtId="0" fontId="0" fillId="0" borderId="4" xfId="0" applyBorder="1" applyAlignment="1">
      <alignment vertical="center"/>
    </xf>
    <xf numFmtId="0" fontId="0" fillId="0" borderId="2" xfId="0" applyBorder="1" applyAlignment="1">
      <alignment vertical="center"/>
    </xf>
    <xf numFmtId="0" fontId="7" fillId="4" borderId="2" xfId="0" applyFont="1" applyFill="1" applyBorder="1" applyAlignment="1">
      <alignment horizontal="left" vertical="center"/>
    </xf>
    <xf numFmtId="0" fontId="30" fillId="4" borderId="68" xfId="0" applyFont="1" applyFill="1" applyBorder="1" applyAlignment="1">
      <alignment horizontal="center" vertical="center"/>
    </xf>
    <xf numFmtId="0" fontId="0" fillId="0" borderId="3" xfId="0" applyBorder="1" applyAlignment="1">
      <alignment vertical="center"/>
    </xf>
    <xf numFmtId="0" fontId="0" fillId="0" borderId="0" xfId="0" applyAlignment="1">
      <alignment vertical="center"/>
    </xf>
    <xf numFmtId="0" fontId="0" fillId="0" borderId="0" xfId="0" applyAlignment="1">
      <alignment vertical="center" wrapText="1"/>
    </xf>
    <xf numFmtId="0" fontId="2" fillId="2" borderId="29" xfId="0" applyFont="1" applyFill="1" applyBorder="1" applyAlignment="1">
      <alignment vertical="center" wrapText="1"/>
    </xf>
    <xf numFmtId="0" fontId="2" fillId="2" borderId="25" xfId="0" applyFont="1" applyFill="1" applyBorder="1" applyAlignment="1">
      <alignment vertical="center" wrapText="1"/>
    </xf>
    <xf numFmtId="0" fontId="2" fillId="2" borderId="45" xfId="0" applyFont="1" applyFill="1" applyBorder="1" applyAlignment="1">
      <alignment horizontal="left" vertical="center" wrapText="1"/>
    </xf>
    <xf numFmtId="0" fontId="2" fillId="2" borderId="0" xfId="0" applyFont="1" applyFill="1" applyAlignment="1">
      <alignment horizontal="left" vertical="center" wrapText="1"/>
    </xf>
    <xf numFmtId="0" fontId="8" fillId="0" borderId="14" xfId="0" applyFont="1" applyBorder="1" applyAlignment="1">
      <alignment vertical="center"/>
    </xf>
    <xf numFmtId="0" fontId="8" fillId="0" borderId="37" xfId="0" applyFont="1" applyBorder="1" applyAlignment="1">
      <alignment vertical="center"/>
    </xf>
    <xf numFmtId="0" fontId="0" fillId="0" borderId="2" xfId="0" applyBorder="1" applyAlignment="1">
      <alignment vertical="center" wrapText="1"/>
    </xf>
    <xf numFmtId="0" fontId="0" fillId="0" borderId="46" xfId="0" applyBorder="1" applyAlignment="1">
      <alignment vertical="center"/>
    </xf>
    <xf numFmtId="15" fontId="0" fillId="0" borderId="15" xfId="0" applyNumberFormat="1" applyBorder="1" applyAlignment="1">
      <alignment vertical="center"/>
    </xf>
    <xf numFmtId="15" fontId="0" fillId="0" borderId="14" xfId="0" applyNumberFormat="1" applyBorder="1" applyAlignment="1">
      <alignment vertical="center"/>
    </xf>
    <xf numFmtId="0" fontId="0" fillId="9" borderId="15" xfId="0" applyFill="1" applyBorder="1" applyAlignment="1">
      <alignment vertical="center"/>
    </xf>
    <xf numFmtId="0" fontId="0" fillId="3" borderId="15" xfId="0" applyFill="1" applyBorder="1" applyAlignment="1">
      <alignment vertical="center"/>
    </xf>
    <xf numFmtId="0" fontId="0" fillId="0" borderId="16" xfId="0" applyBorder="1" applyAlignment="1">
      <alignment vertical="center"/>
    </xf>
    <xf numFmtId="0" fontId="0" fillId="0" borderId="14" xfId="0" applyBorder="1" applyAlignment="1">
      <alignment vertical="center"/>
    </xf>
    <xf numFmtId="0" fontId="0" fillId="9" borderId="4" xfId="0" applyFill="1" applyBorder="1" applyAlignment="1">
      <alignment vertical="center"/>
    </xf>
    <xf numFmtId="0" fontId="11" fillId="10" borderId="4" xfId="0" applyFont="1" applyFill="1" applyBorder="1" applyAlignment="1">
      <alignment vertical="center"/>
    </xf>
    <xf numFmtId="0" fontId="0" fillId="9" borderId="11" xfId="0" applyFill="1" applyBorder="1" applyAlignment="1">
      <alignment vertical="center"/>
    </xf>
    <xf numFmtId="0" fontId="0" fillId="0" borderId="12" xfId="0" applyBorder="1" applyAlignment="1">
      <alignment vertical="center"/>
    </xf>
    <xf numFmtId="0" fontId="0" fillId="0" borderId="10" xfId="0" applyBorder="1" applyAlignment="1">
      <alignment vertical="center"/>
    </xf>
    <xf numFmtId="0" fontId="0" fillId="11" borderId="4" xfId="0" applyFill="1" applyBorder="1" applyAlignment="1">
      <alignment vertical="center"/>
    </xf>
    <xf numFmtId="0" fontId="0" fillId="0" borderId="11" xfId="0" applyBorder="1" applyAlignment="1">
      <alignment vertical="center"/>
    </xf>
    <xf numFmtId="0" fontId="0" fillId="11" borderId="11" xfId="0" applyFill="1" applyBorder="1" applyAlignment="1">
      <alignment vertical="center"/>
    </xf>
    <xf numFmtId="0" fontId="20" fillId="0" borderId="51" xfId="0" applyFont="1" applyBorder="1" applyAlignment="1">
      <alignment vertical="center"/>
    </xf>
    <xf numFmtId="0" fontId="20" fillId="0" borderId="50" xfId="0" applyFont="1" applyBorder="1" applyAlignment="1">
      <alignment vertical="center"/>
    </xf>
    <xf numFmtId="0" fontId="20" fillId="0" borderId="52" xfId="0" applyFont="1" applyBorder="1" applyAlignment="1">
      <alignment vertical="center"/>
    </xf>
    <xf numFmtId="0" fontId="0" fillId="10" borderId="47" xfId="0" applyFill="1" applyBorder="1" applyAlignment="1">
      <alignment vertical="center"/>
    </xf>
    <xf numFmtId="0" fontId="8" fillId="0" borderId="37" xfId="0" applyFont="1" applyBorder="1" applyAlignment="1">
      <alignment horizontal="center" vertical="center"/>
    </xf>
    <xf numFmtId="0" fontId="0" fillId="0" borderId="42" xfId="0" applyBorder="1" applyAlignment="1">
      <alignment vertical="center"/>
    </xf>
    <xf numFmtId="0" fontId="0" fillId="0" borderId="41" xfId="0" applyBorder="1" applyAlignment="1">
      <alignment vertical="center"/>
    </xf>
    <xf numFmtId="0" fontId="0" fillId="11" borderId="42" xfId="0" applyFill="1" applyBorder="1" applyAlignment="1">
      <alignment vertical="center"/>
    </xf>
    <xf numFmtId="0" fontId="4" fillId="0" borderId="21" xfId="0" applyFont="1" applyBorder="1" applyAlignment="1">
      <alignment horizontal="left" vertical="center" wrapText="1"/>
    </xf>
    <xf numFmtId="0" fontId="8" fillId="0" borderId="22" xfId="0" applyFont="1" applyBorder="1" applyAlignment="1">
      <alignment horizontal="center" vertical="center"/>
    </xf>
    <xf numFmtId="0" fontId="0" fillId="0" borderId="22" xfId="0" applyBorder="1" applyAlignment="1">
      <alignment vertical="center"/>
    </xf>
    <xf numFmtId="0" fontId="0" fillId="0" borderId="24" xfId="0" applyBorder="1" applyAlignment="1">
      <alignment vertical="center"/>
    </xf>
    <xf numFmtId="0" fontId="8" fillId="0" borderId="26" xfId="0" applyFont="1" applyBorder="1" applyAlignment="1">
      <alignment vertical="center"/>
    </xf>
    <xf numFmtId="0" fontId="0" fillId="0" borderId="8" xfId="0" applyBorder="1" applyAlignment="1">
      <alignment vertical="center"/>
    </xf>
    <xf numFmtId="0" fontId="0" fillId="0" borderId="8" xfId="0" applyBorder="1" applyAlignment="1">
      <alignment vertical="center" wrapText="1"/>
    </xf>
    <xf numFmtId="0" fontId="7" fillId="4" borderId="8" xfId="0" applyFont="1" applyFill="1" applyBorder="1" applyAlignment="1">
      <alignment horizontal="left" vertical="center"/>
    </xf>
    <xf numFmtId="0" fontId="7" fillId="4" borderId="41" xfId="0" applyFont="1" applyFill="1" applyBorder="1" applyAlignment="1">
      <alignment horizontal="left" vertical="center"/>
    </xf>
    <xf numFmtId="0" fontId="0" fillId="0" borderId="7" xfId="0" applyBorder="1" applyAlignment="1">
      <alignment vertical="center"/>
    </xf>
    <xf numFmtId="0" fontId="8" fillId="0" borderId="4" xfId="0" applyFont="1" applyBorder="1" applyAlignment="1">
      <alignment vertical="center"/>
    </xf>
    <xf numFmtId="0" fontId="7" fillId="7" borderId="2" xfId="0" applyFont="1" applyFill="1" applyBorder="1" applyAlignment="1">
      <alignment horizontal="left" vertical="center"/>
    </xf>
    <xf numFmtId="0" fontId="0" fillId="0" borderId="59" xfId="0" applyBorder="1" applyAlignment="1">
      <alignment vertical="center"/>
    </xf>
    <xf numFmtId="0" fontId="8" fillId="0" borderId="2" xfId="0" applyFont="1" applyBorder="1" applyAlignment="1">
      <alignment vertical="center"/>
    </xf>
    <xf numFmtId="0" fontId="8" fillId="0" borderId="2" xfId="0" applyFont="1" applyBorder="1" applyAlignment="1">
      <alignment horizontal="center" vertical="center"/>
    </xf>
    <xf numFmtId="0" fontId="32" fillId="0" borderId="12" xfId="0" applyFont="1" applyBorder="1" applyAlignment="1">
      <alignment vertical="center"/>
    </xf>
    <xf numFmtId="0" fontId="0" fillId="0" borderId="27" xfId="0" applyBorder="1" applyAlignment="1">
      <alignment vertical="center"/>
    </xf>
    <xf numFmtId="0" fontId="0" fillId="0" borderId="27" xfId="0" applyBorder="1" applyAlignment="1">
      <alignment vertical="center" wrapText="1"/>
    </xf>
    <xf numFmtId="0" fontId="0" fillId="0" borderId="28" xfId="0" applyBorder="1" applyAlignment="1">
      <alignment vertical="center"/>
    </xf>
    <xf numFmtId="0" fontId="0" fillId="0" borderId="15" xfId="0" applyBorder="1" applyAlignment="1">
      <alignment vertical="center"/>
    </xf>
    <xf numFmtId="0" fontId="0" fillId="5" borderId="16" xfId="0" applyFill="1" applyBorder="1" applyAlignment="1">
      <alignment vertical="center"/>
    </xf>
    <xf numFmtId="0" fontId="0" fillId="5" borderId="8" xfId="0" applyFill="1" applyBorder="1" applyAlignment="1">
      <alignment vertical="center"/>
    </xf>
    <xf numFmtId="0" fontId="0" fillId="26" borderId="8" xfId="0" applyFill="1" applyBorder="1" applyAlignment="1">
      <alignment vertical="center"/>
    </xf>
    <xf numFmtId="0" fontId="8" fillId="0" borderId="71" xfId="0" applyFont="1" applyBorder="1" applyAlignment="1">
      <alignment vertical="center"/>
    </xf>
    <xf numFmtId="0" fontId="31" fillId="5" borderId="8" xfId="0" applyFont="1" applyFill="1" applyBorder="1" applyAlignment="1">
      <alignment vertical="center"/>
    </xf>
    <xf numFmtId="0" fontId="0" fillId="0" borderId="22" xfId="0" applyBorder="1" applyAlignment="1">
      <alignment vertical="center" wrapText="1"/>
    </xf>
    <xf numFmtId="0" fontId="0" fillId="0" borderId="25" xfId="0" applyBorder="1" applyAlignment="1">
      <alignment vertical="center"/>
    </xf>
    <xf numFmtId="0" fontId="0" fillId="0" borderId="1" xfId="0" applyBorder="1" applyAlignment="1">
      <alignment vertical="center"/>
    </xf>
    <xf numFmtId="0" fontId="8" fillId="0" borderId="55" xfId="0" applyFont="1" applyBorder="1" applyAlignment="1">
      <alignment vertical="center"/>
    </xf>
    <xf numFmtId="0" fontId="0" fillId="22" borderId="16" xfId="0" applyFill="1" applyBorder="1" applyAlignment="1">
      <alignment vertical="center"/>
    </xf>
    <xf numFmtId="0" fontId="0" fillId="0" borderId="6" xfId="0" applyBorder="1" applyAlignment="1">
      <alignment vertical="center"/>
    </xf>
    <xf numFmtId="0" fontId="0" fillId="22" borderId="8" xfId="0" applyFill="1" applyBorder="1" applyAlignment="1">
      <alignment vertical="center"/>
    </xf>
    <xf numFmtId="0" fontId="0" fillId="22" borderId="2" xfId="0" applyFill="1" applyBorder="1" applyAlignment="1">
      <alignment vertical="center"/>
    </xf>
    <xf numFmtId="0" fontId="11" fillId="22" borderId="2" xfId="0" applyFont="1" applyFill="1" applyBorder="1" applyAlignment="1">
      <alignment horizontal="center" vertical="center"/>
    </xf>
    <xf numFmtId="0" fontId="0" fillId="22" borderId="12" xfId="0" applyFill="1" applyBorder="1" applyAlignment="1">
      <alignment vertical="center"/>
    </xf>
    <xf numFmtId="0" fontId="0" fillId="0" borderId="58" xfId="0" applyBorder="1" applyAlignment="1">
      <alignment vertical="center"/>
    </xf>
    <xf numFmtId="0" fontId="8" fillId="0" borderId="13" xfId="0" applyFont="1" applyBorder="1" applyAlignment="1">
      <alignment vertical="center"/>
    </xf>
    <xf numFmtId="0" fontId="0" fillId="0" borderId="30" xfId="0" applyBorder="1" applyAlignment="1">
      <alignment vertical="center"/>
    </xf>
    <xf numFmtId="0" fontId="0" fillId="0" borderId="70" xfId="0" applyBorder="1" applyAlignment="1">
      <alignment vertical="center"/>
    </xf>
    <xf numFmtId="0" fontId="0" fillId="28" borderId="16" xfId="0" applyFill="1" applyBorder="1" applyAlignment="1">
      <alignment vertical="center"/>
    </xf>
    <xf numFmtId="0" fontId="8" fillId="0" borderId="5" xfId="0" applyFont="1" applyBorder="1" applyAlignment="1">
      <alignment vertical="center"/>
    </xf>
    <xf numFmtId="0" fontId="8" fillId="0" borderId="17" xfId="0" applyFont="1"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38" xfId="0" applyBorder="1" applyAlignment="1">
      <alignment vertical="center"/>
    </xf>
    <xf numFmtId="0" fontId="0" fillId="0" borderId="78" xfId="0" applyBorder="1" applyAlignment="1">
      <alignment vertical="center"/>
    </xf>
    <xf numFmtId="0" fontId="0" fillId="0" borderId="18" xfId="0" applyBorder="1" applyAlignment="1">
      <alignment vertical="center"/>
    </xf>
    <xf numFmtId="164" fontId="35" fillId="0" borderId="46" xfId="0" applyNumberFormat="1" applyFont="1" applyBorder="1" applyAlignment="1">
      <alignment horizontal="left" vertical="center" wrapText="1"/>
    </xf>
    <xf numFmtId="0" fontId="8" fillId="0" borderId="0" xfId="0" applyFont="1" applyAlignment="1">
      <alignment vertical="center"/>
    </xf>
    <xf numFmtId="164" fontId="4" fillId="0" borderId="0" xfId="0" applyNumberFormat="1" applyFont="1" applyAlignment="1">
      <alignment horizontal="center" vertical="center"/>
    </xf>
    <xf numFmtId="164" fontId="4" fillId="0" borderId="0" xfId="0" applyNumberFormat="1" applyFont="1" applyAlignment="1">
      <alignment horizontal="left" vertical="center" wrapText="1"/>
    </xf>
    <xf numFmtId="164" fontId="4" fillId="0" borderId="42" xfId="0" applyNumberFormat="1" applyFont="1" applyBorder="1" applyAlignment="1">
      <alignment horizontal="center" vertical="center" wrapText="1"/>
    </xf>
    <xf numFmtId="164" fontId="4" fillId="0" borderId="27" xfId="0" applyNumberFormat="1" applyFont="1" applyBorder="1" applyAlignment="1">
      <alignment horizontal="center" vertical="center" wrapText="1"/>
    </xf>
    <xf numFmtId="0" fontId="0" fillId="26" borderId="0" xfId="0" applyFill="1" applyAlignment="1">
      <alignment vertical="center"/>
    </xf>
    <xf numFmtId="0" fontId="0" fillId="0" borderId="82" xfId="0" applyBorder="1" applyAlignment="1">
      <alignment vertical="center"/>
    </xf>
    <xf numFmtId="0" fontId="35" fillId="0" borderId="45" xfId="0" applyFont="1" applyBorder="1" applyAlignment="1">
      <alignment horizontal="left" vertical="center" wrapText="1"/>
    </xf>
    <xf numFmtId="0" fontId="3" fillId="2" borderId="36" xfId="0" applyFont="1" applyFill="1" applyBorder="1" applyAlignment="1">
      <alignment horizontal="center" vertical="center" wrapText="1"/>
    </xf>
    <xf numFmtId="0" fontId="3" fillId="2" borderId="43" xfId="0" applyFont="1" applyFill="1" applyBorder="1" applyAlignment="1">
      <alignment horizontal="center" vertical="center" wrapText="1"/>
    </xf>
    <xf numFmtId="0" fontId="1" fillId="2" borderId="0" xfId="0" applyFont="1" applyFill="1" applyAlignment="1">
      <alignment horizontal="center" vertical="center" wrapText="1"/>
    </xf>
    <xf numFmtId="0" fontId="13" fillId="12" borderId="0" xfId="0" applyFont="1" applyFill="1" applyAlignment="1">
      <alignment horizontal="center" vertical="center" wrapText="1"/>
    </xf>
    <xf numFmtId="0" fontId="3" fillId="2" borderId="9" xfId="0" applyFont="1" applyFill="1" applyBorder="1" applyAlignment="1">
      <alignment horizontal="center" vertical="center" wrapText="1"/>
    </xf>
    <xf numFmtId="0" fontId="3" fillId="2" borderId="35" xfId="0" applyFont="1" applyFill="1" applyBorder="1" applyAlignment="1">
      <alignment horizontal="center" vertical="center" wrapText="1"/>
    </xf>
    <xf numFmtId="164" fontId="26" fillId="0" borderId="1" xfId="0" applyNumberFormat="1" applyFont="1" applyBorder="1" applyAlignment="1">
      <alignment horizontal="center" vertical="center" wrapText="1"/>
    </xf>
    <xf numFmtId="164" fontId="26" fillId="0" borderId="43" xfId="0" applyNumberFormat="1" applyFont="1" applyBorder="1" applyAlignment="1">
      <alignment horizontal="center" vertical="center" wrapText="1"/>
    </xf>
    <xf numFmtId="0" fontId="3" fillId="2" borderId="44" xfId="0" applyFont="1" applyFill="1" applyBorder="1" applyAlignment="1">
      <alignment horizontal="center" vertical="center" wrapText="1"/>
    </xf>
    <xf numFmtId="0" fontId="17" fillId="0" borderId="2" xfId="0" applyFont="1" applyBorder="1" applyAlignment="1">
      <alignment horizontal="center" vertical="center" wrapText="1"/>
    </xf>
    <xf numFmtId="0" fontId="17" fillId="0" borderId="41" xfId="0" applyFont="1" applyBorder="1" applyAlignment="1">
      <alignment horizontal="center" vertical="center" wrapText="1"/>
    </xf>
    <xf numFmtId="0" fontId="0" fillId="0" borderId="41" xfId="0" applyBorder="1"/>
    <xf numFmtId="0" fontId="15" fillId="16" borderId="0" xfId="0" applyFont="1" applyFill="1" applyAlignment="1">
      <alignment horizontal="left" vertical="center"/>
    </xf>
    <xf numFmtId="0" fontId="0" fillId="0" borderId="0" xfId="0"/>
    <xf numFmtId="0" fontId="17" fillId="0" borderId="12" xfId="0" applyFont="1" applyBorder="1" applyAlignment="1">
      <alignment horizontal="center" vertical="center" wrapText="1"/>
    </xf>
    <xf numFmtId="0" fontId="18" fillId="20" borderId="12" xfId="0" applyFont="1" applyFill="1" applyBorder="1" applyAlignment="1">
      <alignment horizontal="center" vertical="center" wrapText="1"/>
    </xf>
    <xf numFmtId="0" fontId="18" fillId="20" borderId="8" xfId="0" applyFont="1" applyFill="1" applyBorder="1" applyAlignment="1">
      <alignment horizontal="center" vertical="center" wrapText="1"/>
    </xf>
    <xf numFmtId="0" fontId="17" fillId="0" borderId="8" xfId="0" applyFont="1" applyBorder="1" applyAlignment="1">
      <alignment horizontal="center" vertical="center" wrapText="1"/>
    </xf>
    <xf numFmtId="0" fontId="23" fillId="18" borderId="12" xfId="0" applyFont="1" applyFill="1" applyBorder="1" applyAlignment="1">
      <alignment horizontal="center" vertical="center" wrapText="1"/>
    </xf>
    <xf numFmtId="0" fontId="23" fillId="18" borderId="41" xfId="0" applyFont="1" applyFill="1" applyBorder="1" applyAlignment="1">
      <alignment horizontal="center" vertical="center" wrapText="1"/>
    </xf>
    <xf numFmtId="0" fontId="17" fillId="18" borderId="12" xfId="0" applyFont="1" applyFill="1" applyBorder="1" applyAlignment="1">
      <alignment horizontal="center" vertical="center" wrapText="1"/>
    </xf>
    <xf numFmtId="0" fontId="17" fillId="18" borderId="41" xfId="0" applyFont="1" applyFill="1" applyBorder="1" applyAlignment="1">
      <alignment horizontal="center" vertical="center" wrapText="1"/>
    </xf>
    <xf numFmtId="0" fontId="17" fillId="20" borderId="12" xfId="0" applyFont="1" applyFill="1" applyBorder="1" applyAlignment="1">
      <alignment horizontal="center" vertical="center" wrapText="1"/>
    </xf>
    <xf numFmtId="0" fontId="17" fillId="20" borderId="8" xfId="0" applyFont="1" applyFill="1" applyBorder="1" applyAlignment="1">
      <alignment horizontal="center" vertical="center" wrapText="1"/>
    </xf>
    <xf numFmtId="0" fontId="18" fillId="27" borderId="2" xfId="0" applyFont="1" applyFill="1" applyBorder="1" applyAlignment="1">
      <alignment horizontal="center" vertical="center" wrapText="1"/>
    </xf>
    <xf numFmtId="0" fontId="19" fillId="27" borderId="41" xfId="0" applyFont="1" applyFill="1" applyBorder="1"/>
    <xf numFmtId="0" fontId="17" fillId="27" borderId="2" xfId="0" applyFont="1" applyFill="1" applyBorder="1" applyAlignment="1">
      <alignment horizontal="center" vertical="center" wrapText="1"/>
    </xf>
    <xf numFmtId="0" fontId="0" fillId="27" borderId="41" xfId="0" applyFill="1" applyBorder="1"/>
    <xf numFmtId="0" fontId="0" fillId="27" borderId="8" xfId="0" applyFill="1" applyBorder="1"/>
    <xf numFmtId="0" fontId="19" fillId="27" borderId="8" xfId="0" applyFont="1" applyFill="1" applyBorder="1"/>
    <xf numFmtId="0" fontId="0" fillId="0" borderId="8" xfId="0" applyBorder="1"/>
    <xf numFmtId="0" fontId="18" fillId="20" borderId="41" xfId="0" applyFont="1" applyFill="1" applyBorder="1" applyAlignment="1">
      <alignment horizontal="center" vertical="center" wrapText="1"/>
    </xf>
    <xf numFmtId="0" fontId="17" fillId="20" borderId="41" xfId="0" applyFont="1" applyFill="1" applyBorder="1" applyAlignment="1">
      <alignment horizontal="center" vertical="center" wrapText="1"/>
    </xf>
    <xf numFmtId="0" fontId="18" fillId="19" borderId="12" xfId="0" applyFont="1" applyFill="1" applyBorder="1" applyAlignment="1">
      <alignment horizontal="center" vertical="center" wrapText="1"/>
    </xf>
    <xf numFmtId="0" fontId="18" fillId="19" borderId="41" xfId="0" applyFont="1" applyFill="1" applyBorder="1" applyAlignment="1">
      <alignment horizontal="center" vertical="center" wrapText="1"/>
    </xf>
    <xf numFmtId="0" fontId="18" fillId="19" borderId="8" xfId="0" applyFont="1" applyFill="1" applyBorder="1" applyAlignment="1">
      <alignment horizontal="center" vertical="center" wrapText="1"/>
    </xf>
    <xf numFmtId="0" fontId="17" fillId="19" borderId="12" xfId="0" applyFont="1" applyFill="1" applyBorder="1" applyAlignment="1">
      <alignment horizontal="center" vertical="center" wrapText="1"/>
    </xf>
    <xf numFmtId="0" fontId="17" fillId="19" borderId="41" xfId="0" applyFont="1" applyFill="1" applyBorder="1" applyAlignment="1">
      <alignment horizontal="center" vertical="center" wrapText="1"/>
    </xf>
    <xf numFmtId="0" fontId="17" fillId="19" borderId="8" xfId="0" applyFont="1" applyFill="1" applyBorder="1" applyAlignment="1">
      <alignment horizontal="center" vertical="center" wrapText="1"/>
    </xf>
    <xf numFmtId="0" fontId="16" fillId="13" borderId="0" xfId="0" applyFont="1" applyFill="1" applyAlignment="1">
      <alignment horizontal="center" vertical="center" wrapText="1"/>
    </xf>
    <xf numFmtId="0" fontId="15" fillId="13" borderId="0" xfId="0" applyFont="1" applyFill="1" applyAlignment="1">
      <alignment horizontal="left" vertical="center"/>
    </xf>
    <xf numFmtId="0" fontId="17" fillId="15"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9" fillId="0" borderId="41" xfId="0" applyFont="1" applyBorder="1"/>
    <xf numFmtId="0" fontId="19" fillId="0" borderId="8" xfId="0" applyFont="1" applyBorder="1"/>
    <xf numFmtId="0" fontId="3" fillId="14" borderId="34" xfId="0" applyFont="1" applyFill="1" applyBorder="1" applyAlignment="1">
      <alignment horizontal="center" vertical="center" wrapText="1"/>
    </xf>
    <xf numFmtId="0" fontId="3" fillId="14" borderId="47" xfId="0" applyFont="1" applyFill="1" applyBorder="1" applyAlignment="1">
      <alignment horizontal="center" vertical="center" wrapText="1"/>
    </xf>
    <xf numFmtId="0" fontId="18" fillId="20" borderId="2" xfId="0" applyFont="1" applyFill="1" applyBorder="1" applyAlignment="1">
      <alignment horizontal="center" vertical="center" wrapText="1"/>
    </xf>
    <xf numFmtId="0" fontId="19" fillId="20" borderId="41" xfId="0" applyFont="1" applyFill="1" applyBorder="1"/>
    <xf numFmtId="0" fontId="19" fillId="20" borderId="8" xfId="0" applyFont="1" applyFill="1" applyBorder="1"/>
    <xf numFmtId="0" fontId="17" fillId="18" borderId="8" xfId="0" applyFont="1" applyFill="1" applyBorder="1" applyAlignment="1">
      <alignment horizontal="center" vertical="center" wrapText="1"/>
    </xf>
    <xf numFmtId="0" fontId="17" fillId="18" borderId="12" xfId="0" applyFont="1" applyFill="1" applyBorder="1" applyAlignment="1">
      <alignment horizontal="left" vertical="center" wrapText="1"/>
    </xf>
    <xf numFmtId="0" fontId="17" fillId="18" borderId="8" xfId="0" applyFont="1" applyFill="1" applyBorder="1" applyAlignment="1">
      <alignment horizontal="left" vertical="center" wrapText="1"/>
    </xf>
    <xf numFmtId="0" fontId="17" fillId="17" borderId="12" xfId="0" applyFont="1" applyFill="1" applyBorder="1" applyAlignment="1">
      <alignment horizontal="center" vertical="center" wrapText="1"/>
    </xf>
    <xf numFmtId="0" fontId="17" fillId="17" borderId="41" xfId="0" applyFont="1" applyFill="1" applyBorder="1" applyAlignment="1">
      <alignment horizontal="center" vertical="center" wrapText="1"/>
    </xf>
    <xf numFmtId="0" fontId="17" fillId="17" borderId="8" xfId="0" applyFont="1" applyFill="1" applyBorder="1" applyAlignment="1">
      <alignment horizontal="center" vertical="center" wrapText="1"/>
    </xf>
    <xf numFmtId="0" fontId="17" fillId="18" borderId="41" xfId="0" applyFont="1" applyFill="1" applyBorder="1" applyAlignment="1">
      <alignment horizontal="left" vertical="center" wrapText="1"/>
    </xf>
    <xf numFmtId="0" fontId="17" fillId="23" borderId="2" xfId="0" applyFont="1" applyFill="1" applyBorder="1" applyAlignment="1">
      <alignment horizontal="center" vertical="center" wrapText="1"/>
    </xf>
    <xf numFmtId="0" fontId="0" fillId="23" borderId="41" xfId="0" applyFill="1" applyBorder="1"/>
    <xf numFmtId="0" fontId="0" fillId="23" borderId="8" xfId="0" applyFill="1" applyBorder="1"/>
    <xf numFmtId="0" fontId="15" fillId="21" borderId="0" xfId="0" applyFont="1" applyFill="1" applyAlignment="1">
      <alignment horizontal="left" vertical="center"/>
    </xf>
    <xf numFmtId="0" fontId="0" fillId="21" borderId="0" xfId="0" applyFill="1"/>
    <xf numFmtId="0" fontId="23" fillId="18" borderId="8" xfId="0" applyFont="1" applyFill="1" applyBorder="1" applyAlignment="1">
      <alignment horizontal="center" vertical="center" wrapText="1"/>
    </xf>
    <xf numFmtId="0" fontId="17" fillId="18" borderId="12" xfId="0" quotePrefix="1" applyFont="1" applyFill="1" applyBorder="1" applyAlignment="1">
      <alignment horizontal="center" vertical="center" wrapText="1"/>
    </xf>
    <xf numFmtId="0" fontId="17" fillId="0" borderId="68" xfId="0" applyFont="1" applyBorder="1" applyAlignment="1">
      <alignment horizontal="center" vertical="center" wrapText="1"/>
    </xf>
    <xf numFmtId="0" fontId="17" fillId="0" borderId="12" xfId="0" quotePrefix="1" applyFont="1" applyBorder="1" applyAlignment="1">
      <alignment horizontal="left" vertical="center" wrapText="1"/>
    </xf>
    <xf numFmtId="0" fontId="17" fillId="0" borderId="41" xfId="0" quotePrefix="1" applyFont="1" applyBorder="1" applyAlignment="1">
      <alignment horizontal="left" vertical="center" wrapText="1"/>
    </xf>
    <xf numFmtId="0" fontId="17" fillId="0" borderId="8" xfId="0" quotePrefix="1" applyFont="1" applyBorder="1" applyAlignment="1">
      <alignment horizontal="left" vertical="center" wrapText="1"/>
    </xf>
    <xf numFmtId="0" fontId="18" fillId="17" borderId="12" xfId="0" applyFont="1" applyFill="1" applyBorder="1" applyAlignment="1">
      <alignment horizontal="center" vertical="center" wrapText="1"/>
    </xf>
    <xf numFmtId="0" fontId="18" fillId="17" borderId="41" xfId="0" applyFont="1" applyFill="1" applyBorder="1" applyAlignment="1">
      <alignment horizontal="center" vertical="center" wrapText="1"/>
    </xf>
    <xf numFmtId="0" fontId="18" fillId="17" borderId="8" xfId="0" applyFont="1" applyFill="1" applyBorder="1" applyAlignment="1">
      <alignment horizontal="center" vertical="center" wrapText="1"/>
    </xf>
    <xf numFmtId="0" fontId="17" fillId="0" borderId="69" xfId="0" applyFont="1" applyBorder="1" applyAlignment="1">
      <alignment horizontal="center" vertical="center" wrapText="1"/>
    </xf>
    <xf numFmtId="0" fontId="17" fillId="0" borderId="0" xfId="0" applyFont="1" applyAlignment="1">
      <alignment horizontal="center" vertical="center" wrapText="1"/>
    </xf>
    <xf numFmtId="0" fontId="17" fillId="20" borderId="2" xfId="0" applyFont="1" applyFill="1" applyBorder="1" applyAlignment="1">
      <alignment horizontal="center" vertical="center" wrapText="1"/>
    </xf>
    <xf numFmtId="0" fontId="0" fillId="20" borderId="41" xfId="0" applyFill="1" applyBorder="1"/>
    <xf numFmtId="0" fontId="0" fillId="20" borderId="8" xfId="0" applyFill="1" applyBorder="1"/>
    <xf numFmtId="0" fontId="22" fillId="0" borderId="12" xfId="0" applyFont="1" applyBorder="1" applyAlignment="1">
      <alignment horizontal="left" vertical="center" wrapText="1"/>
    </xf>
    <xf numFmtId="0" fontId="22" fillId="0" borderId="41" xfId="0" applyFont="1" applyBorder="1" applyAlignment="1">
      <alignment horizontal="left" vertical="center" wrapText="1"/>
    </xf>
    <xf numFmtId="0" fontId="22" fillId="0" borderId="8" xfId="0" applyFont="1" applyBorder="1" applyAlignment="1">
      <alignment horizontal="left" vertical="center" wrapText="1"/>
    </xf>
    <xf numFmtId="0" fontId="17" fillId="0" borderId="68" xfId="0" applyFont="1" applyBorder="1" applyAlignment="1">
      <alignment horizontal="left" vertical="center" wrapText="1"/>
    </xf>
    <xf numFmtId="0" fontId="17" fillId="18" borderId="11" xfId="0" applyFont="1" applyFill="1" applyBorder="1" applyAlignment="1">
      <alignment horizontal="left" vertical="center" wrapText="1"/>
    </xf>
    <xf numFmtId="0" fontId="17" fillId="18" borderId="46" xfId="0" applyFont="1" applyFill="1" applyBorder="1" applyAlignment="1">
      <alignment horizontal="left" vertical="center" wrapText="1"/>
    </xf>
    <xf numFmtId="0" fontId="17" fillId="18" borderId="58" xfId="0" applyFont="1" applyFill="1" applyBorder="1" applyAlignment="1">
      <alignment horizontal="center" vertical="center" wrapText="1"/>
    </xf>
    <xf numFmtId="0" fontId="17" fillId="18" borderId="58" xfId="0" applyFont="1" applyFill="1" applyBorder="1" applyAlignment="1">
      <alignment horizontal="left" vertical="center" wrapText="1"/>
    </xf>
    <xf numFmtId="0" fontId="17" fillId="0" borderId="65" xfId="0" quotePrefix="1" applyFont="1" applyBorder="1" applyAlignment="1">
      <alignment horizontal="left" vertical="center" wrapText="1"/>
    </xf>
    <xf numFmtId="0" fontId="17" fillId="0" borderId="66" xfId="0" applyFont="1" applyBorder="1" applyAlignment="1">
      <alignment horizontal="left" vertical="center" wrapText="1"/>
    </xf>
    <xf numFmtId="0" fontId="17" fillId="0" borderId="67" xfId="0" applyFont="1" applyBorder="1" applyAlignment="1">
      <alignment horizontal="left" vertical="center" wrapText="1"/>
    </xf>
    <xf numFmtId="0" fontId="0" fillId="0" borderId="42" xfId="0" applyBorder="1"/>
    <xf numFmtId="0" fontId="0" fillId="0" borderId="12" xfId="0" applyBorder="1" applyAlignment="1">
      <alignment horizontal="center" vertical="center"/>
    </xf>
    <xf numFmtId="0" fontId="0" fillId="0" borderId="41" xfId="0" applyBorder="1" applyAlignment="1">
      <alignment horizontal="center" vertical="center"/>
    </xf>
    <xf numFmtId="0" fontId="0" fillId="0" borderId="8" xfId="0" applyBorder="1" applyAlignment="1">
      <alignment horizontal="center" vertical="center"/>
    </xf>
    <xf numFmtId="0" fontId="17" fillId="0" borderId="1" xfId="0" applyFont="1" applyBorder="1" applyAlignment="1">
      <alignment horizontal="center" vertical="center" wrapText="1"/>
    </xf>
    <xf numFmtId="0" fontId="0" fillId="0" borderId="40" xfId="0" applyBorder="1"/>
    <xf numFmtId="0" fontId="15" fillId="25" borderId="0" xfId="0" applyFont="1" applyFill="1" applyAlignment="1">
      <alignment horizontal="left" vertical="center"/>
    </xf>
    <xf numFmtId="0" fontId="0" fillId="25" borderId="0" xfId="0" applyFill="1"/>
    <xf numFmtId="0" fontId="17" fillId="0" borderId="58" xfId="0" applyFont="1" applyBorder="1" applyAlignment="1">
      <alignment horizontal="center" vertical="center" wrapText="1"/>
    </xf>
    <xf numFmtId="0" fontId="17" fillId="18" borderId="12" xfId="0" quotePrefix="1" applyFont="1" applyFill="1" applyBorder="1" applyAlignment="1">
      <alignment horizontal="left" vertical="center" wrapText="1"/>
    </xf>
    <xf numFmtId="0" fontId="17" fillId="18" borderId="60" xfId="0" applyFont="1" applyFill="1" applyBorder="1" applyAlignment="1">
      <alignment horizontal="center" vertical="center" wrapText="1"/>
    </xf>
    <xf numFmtId="0" fontId="17" fillId="18" borderId="63" xfId="0" applyFont="1" applyFill="1" applyBorder="1" applyAlignment="1">
      <alignment horizontal="center" vertical="center" wrapText="1"/>
    </xf>
    <xf numFmtId="0" fontId="17" fillId="18" borderId="64" xfId="0" applyFont="1" applyFill="1" applyBorder="1" applyAlignment="1">
      <alignment horizontal="center" vertical="center" wrapText="1"/>
    </xf>
    <xf numFmtId="0" fontId="17" fillId="18" borderId="60" xfId="0" applyFont="1" applyFill="1" applyBorder="1" applyAlignment="1">
      <alignment horizontal="left" vertical="center" wrapText="1"/>
    </xf>
    <xf numFmtId="0" fontId="17" fillId="18" borderId="63" xfId="0" applyFont="1" applyFill="1" applyBorder="1" applyAlignment="1">
      <alignment horizontal="left" vertical="center" wrapText="1"/>
    </xf>
    <xf numFmtId="0" fontId="17" fillId="18" borderId="64" xfId="0" applyFont="1" applyFill="1" applyBorder="1" applyAlignment="1">
      <alignment horizontal="left" vertical="center" wrapText="1"/>
    </xf>
    <xf numFmtId="0" fontId="17" fillId="0" borderId="61" xfId="0" applyFont="1" applyBorder="1" applyAlignment="1">
      <alignment horizontal="left" vertical="center" wrapText="1"/>
    </xf>
    <xf numFmtId="0" fontId="17" fillId="0" borderId="62" xfId="0" applyFont="1" applyBorder="1" applyAlignment="1">
      <alignment horizontal="left" vertical="center" wrapText="1"/>
    </xf>
    <xf numFmtId="0" fontId="27" fillId="19" borderId="41" xfId="0" applyFont="1" applyFill="1" applyBorder="1" applyAlignment="1">
      <alignment horizontal="center" vertical="center"/>
    </xf>
    <xf numFmtId="0" fontId="27" fillId="19" borderId="8" xfId="0" applyFont="1" applyFill="1" applyBorder="1" applyAlignment="1">
      <alignment horizontal="center" vertical="center"/>
    </xf>
    <xf numFmtId="0" fontId="17" fillId="0" borderId="12" xfId="0" applyFont="1" applyBorder="1" applyAlignment="1">
      <alignment horizontal="left" vertical="center" wrapText="1"/>
    </xf>
    <xf numFmtId="0" fontId="17" fillId="0" borderId="8" xfId="0" applyFont="1" applyBorder="1" applyAlignment="1">
      <alignment horizontal="left" vertical="center" wrapText="1"/>
    </xf>
    <xf numFmtId="0" fontId="0" fillId="0" borderId="37" xfId="0" applyBorder="1"/>
    <xf numFmtId="0" fontId="23" fillId="18" borderId="11" xfId="0" applyFont="1" applyFill="1" applyBorder="1" applyAlignment="1">
      <alignment horizontal="center" vertical="center" wrapText="1"/>
    </xf>
    <xf numFmtId="0" fontId="23" fillId="18" borderId="42" xfId="0" applyFont="1" applyFill="1" applyBorder="1" applyAlignment="1">
      <alignment horizontal="center" vertical="center" wrapText="1"/>
    </xf>
    <xf numFmtId="0" fontId="23" fillId="18" borderId="46" xfId="0" applyFont="1" applyFill="1" applyBorder="1" applyAlignment="1">
      <alignment horizontal="center" vertical="center" wrapText="1"/>
    </xf>
    <xf numFmtId="0" fontId="27" fillId="19" borderId="12" xfId="0" applyFont="1" applyFill="1" applyBorder="1" applyAlignment="1">
      <alignment horizontal="center" vertical="center"/>
    </xf>
    <xf numFmtId="0" fontId="17" fillId="18" borderId="12" xfId="0" applyFont="1" applyFill="1" applyBorder="1" applyAlignment="1">
      <alignment horizontal="left" vertical="top" wrapText="1"/>
    </xf>
    <xf numFmtId="0" fontId="17" fillId="18" borderId="8" xfId="0" applyFont="1" applyFill="1" applyBorder="1" applyAlignment="1">
      <alignment horizontal="left" vertical="top" wrapText="1"/>
    </xf>
    <xf numFmtId="0" fontId="0" fillId="0" borderId="12" xfId="0" applyBorder="1" applyAlignment="1">
      <alignment horizontal="left" vertical="center" wrapText="1"/>
    </xf>
    <xf numFmtId="0" fontId="0" fillId="0" borderId="41" xfId="0" applyBorder="1" applyAlignment="1">
      <alignment horizontal="left" vertical="center" wrapText="1"/>
    </xf>
    <xf numFmtId="0" fontId="0" fillId="0" borderId="8" xfId="0" applyBorder="1" applyAlignment="1">
      <alignment horizontal="left" vertical="center" wrapText="1"/>
    </xf>
    <xf numFmtId="0" fontId="15" fillId="24" borderId="0" xfId="0" applyFont="1" applyFill="1" applyAlignment="1">
      <alignment horizontal="left" vertical="center"/>
    </xf>
    <xf numFmtId="0" fontId="0" fillId="24" borderId="0" xfId="0" applyFill="1"/>
    <xf numFmtId="0" fontId="10" fillId="0" borderId="0" xfId="0" applyFont="1" applyAlignment="1">
      <alignment horizontal="center" vertical="center" wrapText="1"/>
    </xf>
    <xf numFmtId="0" fontId="7" fillId="3" borderId="13" xfId="0" applyFont="1" applyFill="1" applyBorder="1" applyAlignment="1">
      <alignment horizontal="left" vertical="center" wrapText="1"/>
    </xf>
    <xf numFmtId="0" fontId="5" fillId="0" borderId="5" xfId="0" applyFont="1" applyBorder="1" applyAlignment="1">
      <alignment horizontal="left" vertical="center" wrapText="1"/>
    </xf>
    <xf numFmtId="0" fontId="4" fillId="0" borderId="33" xfId="0" applyFont="1" applyBorder="1" applyAlignment="1">
      <alignment horizontal="left" vertical="center" wrapText="1"/>
    </xf>
    <xf numFmtId="0" fontId="4" fillId="0" borderId="26" xfId="0" applyFont="1" applyBorder="1" applyAlignment="1">
      <alignment horizontal="left" vertical="center" wrapText="1"/>
    </xf>
    <xf numFmtId="0" fontId="7" fillId="4" borderId="26" xfId="0" applyFont="1" applyFill="1" applyBorder="1" applyAlignment="1">
      <alignment horizontal="left" vertical="center" wrapText="1"/>
    </xf>
    <xf numFmtId="0" fontId="5" fillId="0" borderId="53" xfId="0" applyFont="1" applyBorder="1" applyAlignment="1">
      <alignment horizontal="left" vertical="center" wrapText="1"/>
    </xf>
    <xf numFmtId="0" fontId="4" fillId="0" borderId="53" xfId="0" applyFont="1" applyBorder="1" applyAlignment="1">
      <alignment horizontal="left" vertical="center" wrapText="1"/>
    </xf>
    <xf numFmtId="0" fontId="4" fillId="0" borderId="56" xfId="0" applyFont="1" applyBorder="1" applyAlignment="1">
      <alignment horizontal="left" vertical="center" wrapText="1"/>
    </xf>
    <xf numFmtId="0" fontId="4" fillId="0" borderId="57" xfId="0" applyFont="1" applyBorder="1" applyAlignment="1">
      <alignment horizontal="left" vertical="center" wrapText="1"/>
    </xf>
    <xf numFmtId="0" fontId="29" fillId="0" borderId="54" xfId="0" applyFont="1" applyBorder="1" applyAlignment="1">
      <alignment horizontal="left" vertical="center" wrapText="1"/>
    </xf>
    <xf numFmtId="0" fontId="0" fillId="0" borderId="31" xfId="0" applyBorder="1" applyAlignment="1">
      <alignment vertical="center" wrapText="1"/>
    </xf>
    <xf numFmtId="0" fontId="7" fillId="5" borderId="72" xfId="0" applyFont="1" applyFill="1" applyBorder="1" applyAlignment="1">
      <alignment horizontal="left" vertical="center" wrapText="1"/>
    </xf>
    <xf numFmtId="0" fontId="28" fillId="0" borderId="73" xfId="0" applyFont="1" applyBorder="1" applyAlignment="1">
      <alignment horizontal="left" vertical="center" wrapText="1"/>
    </xf>
    <xf numFmtId="0" fontId="9" fillId="0" borderId="73" xfId="0" applyFont="1" applyBorder="1" applyAlignment="1">
      <alignment horizontal="left" vertical="center" wrapText="1"/>
    </xf>
    <xf numFmtId="0" fontId="0" fillId="0" borderId="21" xfId="0" applyBorder="1" applyAlignment="1">
      <alignment vertical="center" wrapText="1"/>
    </xf>
    <xf numFmtId="0" fontId="3" fillId="22" borderId="0" xfId="0" applyFont="1" applyFill="1" applyAlignment="1">
      <alignment horizontal="left" vertical="center" wrapText="1"/>
    </xf>
    <xf numFmtId="0" fontId="28" fillId="0" borderId="75" xfId="0" applyFont="1" applyBorder="1" applyAlignment="1">
      <alignment horizontal="left" vertical="center" wrapText="1"/>
    </xf>
    <xf numFmtId="0" fontId="28" fillId="0" borderId="76"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E8D8F4"/>
      <color rgb="FFD6BB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BP78"/>
  <sheetViews>
    <sheetView showGridLines="0" topLeftCell="B1" zoomScale="115" zoomScaleNormal="115" workbookViewId="0">
      <selection activeCell="B1" sqref="B1:Z1"/>
    </sheetView>
  </sheetViews>
  <sheetFormatPr baseColWidth="10" defaultColWidth="8.6640625" defaultRowHeight="15" outlineLevelRow="2" outlineLevelCol="1" x14ac:dyDescent="0.2"/>
  <cols>
    <col min="1" max="1" width="3.5" style="125" customWidth="1"/>
    <col min="2" max="2" width="39.83203125" style="126" customWidth="1"/>
    <col min="3" max="3" width="17.5" style="125" customWidth="1"/>
    <col min="4" max="4" width="10.1640625" style="125" customWidth="1" outlineLevel="1"/>
    <col min="5" max="5" width="35.6640625" style="126" customWidth="1" outlineLevel="1"/>
    <col min="6" max="6" width="30" style="125" customWidth="1" outlineLevel="1"/>
    <col min="7" max="7" width="9.5" style="125" customWidth="1" outlineLevel="1"/>
    <col min="8" max="8" width="9.6640625" style="125" customWidth="1" outlineLevel="1"/>
    <col min="9" max="68" width="3.5" style="125" customWidth="1"/>
    <col min="69" max="16384" width="8.6640625" style="125"/>
  </cols>
  <sheetData>
    <row r="1" spans="2:68" ht="19" x14ac:dyDescent="0.2">
      <c r="B1" s="215" t="s">
        <v>0</v>
      </c>
      <c r="C1" s="215"/>
      <c r="D1" s="215"/>
      <c r="E1" s="215"/>
      <c r="F1" s="215"/>
      <c r="G1" s="215"/>
      <c r="H1" s="215"/>
      <c r="I1" s="215"/>
      <c r="J1" s="215"/>
      <c r="K1" s="215"/>
      <c r="L1" s="215"/>
      <c r="M1" s="215"/>
      <c r="N1" s="215"/>
      <c r="O1" s="215"/>
      <c r="P1" s="215"/>
      <c r="Q1" s="215"/>
      <c r="R1" s="215"/>
      <c r="S1" s="215"/>
      <c r="T1" s="215"/>
      <c r="U1" s="215"/>
      <c r="V1" s="215"/>
      <c r="W1" s="215"/>
      <c r="X1" s="215"/>
      <c r="Y1" s="215"/>
      <c r="Z1" s="215"/>
    </row>
    <row r="2" spans="2:68" ht="16" x14ac:dyDescent="0.2">
      <c r="B2" s="216" t="s">
        <v>467</v>
      </c>
      <c r="C2" s="216"/>
      <c r="D2" s="216"/>
      <c r="E2" s="216"/>
      <c r="F2" s="216"/>
      <c r="G2" s="216"/>
      <c r="H2" s="216"/>
      <c r="I2" s="216"/>
      <c r="J2" s="216"/>
      <c r="K2" s="216"/>
      <c r="L2" s="216"/>
      <c r="M2" s="216"/>
      <c r="N2" s="216"/>
      <c r="O2" s="216"/>
      <c r="P2" s="216"/>
      <c r="Q2" s="216"/>
      <c r="R2" s="216"/>
      <c r="S2" s="216"/>
      <c r="T2" s="216"/>
      <c r="U2" s="216"/>
      <c r="V2" s="216"/>
      <c r="W2" s="216"/>
      <c r="X2" s="216"/>
      <c r="Y2" s="216"/>
      <c r="Z2" s="216"/>
    </row>
    <row r="4" spans="2:68" ht="19" x14ac:dyDescent="0.2">
      <c r="B4" s="334" t="s">
        <v>44</v>
      </c>
    </row>
    <row r="5" spans="2:68" ht="17" x14ac:dyDescent="0.2">
      <c r="B5" s="127" t="s">
        <v>30</v>
      </c>
      <c r="C5" s="128"/>
      <c r="D5" s="128"/>
      <c r="E5" s="128"/>
      <c r="F5" s="128"/>
      <c r="G5" s="128"/>
      <c r="H5" s="128"/>
      <c r="I5" s="218" t="s">
        <v>111</v>
      </c>
      <c r="J5" s="218"/>
      <c r="K5" s="218"/>
      <c r="L5" s="218"/>
      <c r="M5" s="218" t="s">
        <v>2</v>
      </c>
      <c r="N5" s="218"/>
      <c r="O5" s="218"/>
      <c r="P5" s="218"/>
      <c r="Q5" s="218" t="s">
        <v>3</v>
      </c>
      <c r="R5" s="218"/>
      <c r="S5" s="218"/>
      <c r="T5" s="218"/>
      <c r="U5" s="218" t="s">
        <v>4</v>
      </c>
      <c r="V5" s="218"/>
      <c r="W5" s="218"/>
      <c r="X5" s="218"/>
      <c r="Y5" s="218" t="s">
        <v>5</v>
      </c>
      <c r="Z5" s="218"/>
      <c r="AA5" s="218"/>
      <c r="AB5" s="218"/>
      <c r="AC5" s="218" t="s">
        <v>6</v>
      </c>
      <c r="AD5" s="218"/>
      <c r="AE5" s="218"/>
      <c r="AF5" s="218"/>
      <c r="AG5" s="218" t="s">
        <v>7</v>
      </c>
      <c r="AH5" s="218"/>
      <c r="AI5" s="218"/>
      <c r="AJ5" s="218"/>
      <c r="AK5" s="218" t="s">
        <v>8</v>
      </c>
      <c r="AL5" s="218"/>
      <c r="AM5" s="218"/>
      <c r="AN5" s="218"/>
      <c r="AO5" s="218" t="s">
        <v>9</v>
      </c>
      <c r="AP5" s="218"/>
      <c r="AQ5" s="218"/>
      <c r="AR5" s="218"/>
      <c r="AS5" s="218" t="s">
        <v>10</v>
      </c>
      <c r="AT5" s="218"/>
      <c r="AU5" s="218"/>
      <c r="AV5" s="218"/>
      <c r="AW5" s="218" t="s">
        <v>11</v>
      </c>
      <c r="AX5" s="218"/>
      <c r="AY5" s="218"/>
      <c r="AZ5" s="218"/>
      <c r="BA5" s="218" t="s">
        <v>12</v>
      </c>
      <c r="BB5" s="218"/>
      <c r="BC5" s="218"/>
      <c r="BD5" s="218"/>
      <c r="BE5" s="218" t="s">
        <v>13</v>
      </c>
      <c r="BF5" s="218"/>
      <c r="BG5" s="218"/>
      <c r="BH5" s="218"/>
      <c r="BI5" s="218" t="s">
        <v>14</v>
      </c>
      <c r="BJ5" s="218"/>
      <c r="BK5" s="218"/>
      <c r="BL5" s="218"/>
      <c r="BM5" s="218" t="s">
        <v>15</v>
      </c>
      <c r="BN5" s="218"/>
      <c r="BO5" s="218"/>
      <c r="BP5" s="221"/>
    </row>
    <row r="6" spans="2:68" ht="16" x14ac:dyDescent="0.2">
      <c r="B6" s="129"/>
      <c r="C6" s="130"/>
      <c r="D6" s="217" t="s">
        <v>49</v>
      </c>
      <c r="E6" s="217"/>
      <c r="F6" s="217"/>
      <c r="G6" s="217"/>
      <c r="H6" s="217"/>
      <c r="I6" s="217" t="s">
        <v>24</v>
      </c>
      <c r="J6" s="217"/>
      <c r="K6" s="217"/>
      <c r="L6" s="217"/>
      <c r="M6" s="213" t="s">
        <v>25</v>
      </c>
      <c r="N6" s="213"/>
      <c r="O6" s="213"/>
      <c r="P6" s="213"/>
      <c r="Q6" s="213" t="s">
        <v>26</v>
      </c>
      <c r="R6" s="213"/>
      <c r="S6" s="213"/>
      <c r="T6" s="213"/>
      <c r="U6" s="213" t="s">
        <v>27</v>
      </c>
      <c r="V6" s="213"/>
      <c r="W6" s="213"/>
      <c r="X6" s="213"/>
      <c r="Y6" s="213" t="s">
        <v>28</v>
      </c>
      <c r="Z6" s="213"/>
      <c r="AA6" s="213"/>
      <c r="AB6" s="213"/>
      <c r="AC6" s="213" t="s">
        <v>29</v>
      </c>
      <c r="AD6" s="213"/>
      <c r="AE6" s="213"/>
      <c r="AF6" s="213"/>
      <c r="AG6" s="213" t="s">
        <v>31</v>
      </c>
      <c r="AH6" s="213"/>
      <c r="AI6" s="213"/>
      <c r="AJ6" s="213"/>
      <c r="AK6" s="213" t="s">
        <v>32</v>
      </c>
      <c r="AL6" s="213"/>
      <c r="AM6" s="213"/>
      <c r="AN6" s="213"/>
      <c r="AO6" s="213" t="s">
        <v>33</v>
      </c>
      <c r="AP6" s="213"/>
      <c r="AQ6" s="213"/>
      <c r="AR6" s="213"/>
      <c r="AS6" s="213" t="s">
        <v>34</v>
      </c>
      <c r="AT6" s="213"/>
      <c r="AU6" s="213"/>
      <c r="AV6" s="213"/>
      <c r="AW6" s="213" t="s">
        <v>35</v>
      </c>
      <c r="AX6" s="213"/>
      <c r="AY6" s="213"/>
      <c r="AZ6" s="213"/>
      <c r="BA6" s="213" t="s">
        <v>36</v>
      </c>
      <c r="BB6" s="213"/>
      <c r="BC6" s="213"/>
      <c r="BD6" s="213"/>
      <c r="BE6" s="213" t="s">
        <v>37</v>
      </c>
      <c r="BF6" s="213"/>
      <c r="BG6" s="213"/>
      <c r="BH6" s="213"/>
      <c r="BI6" s="213" t="s">
        <v>42</v>
      </c>
      <c r="BJ6" s="213"/>
      <c r="BK6" s="213"/>
      <c r="BL6" s="214"/>
      <c r="BM6" s="213" t="s">
        <v>43</v>
      </c>
      <c r="BN6" s="213"/>
      <c r="BO6" s="213"/>
      <c r="BP6" s="214"/>
    </row>
    <row r="7" spans="2:68" x14ac:dyDescent="0.2">
      <c r="B7" s="24" t="s">
        <v>1</v>
      </c>
      <c r="C7" s="3" t="s">
        <v>21</v>
      </c>
      <c r="D7" s="15" t="s">
        <v>48</v>
      </c>
      <c r="E7" s="4" t="s">
        <v>45</v>
      </c>
      <c r="F7" s="115" t="s">
        <v>503</v>
      </c>
      <c r="G7" s="4" t="s">
        <v>19</v>
      </c>
      <c r="H7" s="3" t="s">
        <v>20</v>
      </c>
      <c r="I7" s="5" t="s">
        <v>38</v>
      </c>
      <c r="J7" s="5" t="s">
        <v>39</v>
      </c>
      <c r="K7" s="6" t="s">
        <v>40</v>
      </c>
      <c r="L7" s="6" t="s">
        <v>41</v>
      </c>
      <c r="M7" s="5" t="s">
        <v>38</v>
      </c>
      <c r="N7" s="5" t="s">
        <v>39</v>
      </c>
      <c r="O7" s="6" t="s">
        <v>40</v>
      </c>
      <c r="P7" s="6" t="s">
        <v>41</v>
      </c>
      <c r="Q7" s="5" t="s">
        <v>38</v>
      </c>
      <c r="R7" s="5" t="s">
        <v>39</v>
      </c>
      <c r="S7" s="6" t="s">
        <v>40</v>
      </c>
      <c r="T7" s="6" t="s">
        <v>41</v>
      </c>
      <c r="U7" s="5" t="s">
        <v>38</v>
      </c>
      <c r="V7" s="5" t="s">
        <v>39</v>
      </c>
      <c r="W7" s="6" t="s">
        <v>40</v>
      </c>
      <c r="X7" s="6" t="s">
        <v>41</v>
      </c>
      <c r="Y7" s="5" t="s">
        <v>38</v>
      </c>
      <c r="Z7" s="5" t="s">
        <v>39</v>
      </c>
      <c r="AA7" s="6" t="s">
        <v>40</v>
      </c>
      <c r="AB7" s="6" t="s">
        <v>41</v>
      </c>
      <c r="AC7" s="5" t="s">
        <v>38</v>
      </c>
      <c r="AD7" s="5" t="s">
        <v>39</v>
      </c>
      <c r="AE7" s="6" t="s">
        <v>40</v>
      </c>
      <c r="AF7" s="6" t="s">
        <v>41</v>
      </c>
      <c r="AG7" s="5" t="s">
        <v>38</v>
      </c>
      <c r="AH7" s="5" t="s">
        <v>39</v>
      </c>
      <c r="AI7" s="6" t="s">
        <v>40</v>
      </c>
      <c r="AJ7" s="6" t="s">
        <v>41</v>
      </c>
      <c r="AK7" s="5" t="s">
        <v>38</v>
      </c>
      <c r="AL7" s="5" t="s">
        <v>39</v>
      </c>
      <c r="AM7" s="6" t="s">
        <v>40</v>
      </c>
      <c r="AN7" s="6" t="s">
        <v>41</v>
      </c>
      <c r="AO7" s="5" t="s">
        <v>38</v>
      </c>
      <c r="AP7" s="5" t="s">
        <v>39</v>
      </c>
      <c r="AQ7" s="6" t="s">
        <v>40</v>
      </c>
      <c r="AR7" s="6" t="s">
        <v>41</v>
      </c>
      <c r="AS7" s="5" t="s">
        <v>38</v>
      </c>
      <c r="AT7" s="5" t="s">
        <v>39</v>
      </c>
      <c r="AU7" s="6" t="s">
        <v>40</v>
      </c>
      <c r="AV7" s="6" t="s">
        <v>41</v>
      </c>
      <c r="AW7" s="5" t="s">
        <v>38</v>
      </c>
      <c r="AX7" s="5" t="s">
        <v>39</v>
      </c>
      <c r="AY7" s="6" t="s">
        <v>40</v>
      </c>
      <c r="AZ7" s="6" t="s">
        <v>41</v>
      </c>
      <c r="BA7" s="5" t="s">
        <v>38</v>
      </c>
      <c r="BB7" s="5" t="s">
        <v>39</v>
      </c>
      <c r="BC7" s="6" t="s">
        <v>40</v>
      </c>
      <c r="BD7" s="6" t="s">
        <v>41</v>
      </c>
      <c r="BE7" s="5" t="s">
        <v>38</v>
      </c>
      <c r="BF7" s="5" t="s">
        <v>39</v>
      </c>
      <c r="BG7" s="6" t="s">
        <v>40</v>
      </c>
      <c r="BH7" s="6" t="s">
        <v>41</v>
      </c>
      <c r="BI7" s="5" t="s">
        <v>38</v>
      </c>
      <c r="BJ7" s="5" t="s">
        <v>39</v>
      </c>
      <c r="BK7" s="6" t="s">
        <v>40</v>
      </c>
      <c r="BL7" s="6" t="s">
        <v>41</v>
      </c>
      <c r="BM7" s="5" t="s">
        <v>38</v>
      </c>
      <c r="BN7" s="5" t="s">
        <v>39</v>
      </c>
      <c r="BO7" s="6" t="s">
        <v>40</v>
      </c>
      <c r="BP7" s="22" t="s">
        <v>41</v>
      </c>
    </row>
    <row r="8" spans="2:68" ht="26" x14ac:dyDescent="0.2">
      <c r="B8" s="335" t="s">
        <v>16</v>
      </c>
      <c r="C8" s="131"/>
      <c r="D8" s="132"/>
      <c r="E8" s="133"/>
      <c r="F8" s="134"/>
      <c r="G8" s="135"/>
      <c r="H8" s="136"/>
      <c r="I8" s="137"/>
      <c r="J8" s="137"/>
      <c r="K8" s="138"/>
      <c r="L8" s="138"/>
      <c r="M8" s="138"/>
      <c r="N8" s="138"/>
      <c r="O8" s="121"/>
      <c r="P8" s="121"/>
      <c r="Q8" s="121"/>
      <c r="R8" s="121"/>
      <c r="S8" s="139"/>
      <c r="T8" s="139"/>
      <c r="U8" s="139"/>
      <c r="V8" s="139"/>
      <c r="W8" s="139"/>
      <c r="X8" s="139"/>
      <c r="Y8" s="139"/>
      <c r="Z8" s="139"/>
      <c r="AA8" s="139"/>
      <c r="AB8" s="139"/>
      <c r="AC8" s="139"/>
      <c r="AD8" s="139"/>
      <c r="AE8" s="139"/>
      <c r="AF8" s="139"/>
      <c r="AG8" s="139"/>
      <c r="AH8" s="139"/>
      <c r="AI8" s="139"/>
      <c r="AJ8" s="139"/>
      <c r="AK8" s="139"/>
      <c r="AL8" s="139"/>
      <c r="AM8" s="139"/>
      <c r="AN8" s="139"/>
      <c r="AO8" s="139"/>
      <c r="AP8" s="139"/>
      <c r="AQ8" s="139"/>
      <c r="AR8" s="139"/>
      <c r="AS8" s="139"/>
      <c r="AT8" s="139"/>
      <c r="AU8" s="139"/>
      <c r="AV8" s="139"/>
      <c r="AW8" s="139"/>
      <c r="AX8" s="139"/>
      <c r="AY8" s="139"/>
      <c r="AZ8" s="139"/>
      <c r="BA8" s="139"/>
      <c r="BB8" s="139"/>
      <c r="BC8" s="139"/>
      <c r="BD8" s="139"/>
      <c r="BE8" s="139"/>
      <c r="BF8" s="139"/>
      <c r="BG8" s="139"/>
      <c r="BH8" s="139"/>
      <c r="BI8" s="139"/>
      <c r="BJ8" s="139"/>
      <c r="BK8" s="139"/>
      <c r="BL8" s="139"/>
      <c r="BM8" s="139"/>
      <c r="BN8" s="139"/>
      <c r="BO8" s="139"/>
      <c r="BP8" s="140"/>
    </row>
    <row r="9" spans="2:68" ht="26" outlineLevel="1" x14ac:dyDescent="0.2">
      <c r="B9" s="336" t="s">
        <v>17</v>
      </c>
      <c r="C9" s="19" t="s">
        <v>22</v>
      </c>
      <c r="D9" s="118"/>
      <c r="E9" s="108" t="s">
        <v>47</v>
      </c>
      <c r="F9" s="116" t="s">
        <v>504</v>
      </c>
      <c r="G9" s="16">
        <v>46235</v>
      </c>
      <c r="H9" s="17">
        <v>46282</v>
      </c>
      <c r="I9" s="141"/>
      <c r="J9" s="141"/>
      <c r="K9" s="142"/>
      <c r="L9" s="142"/>
      <c r="M9" s="142"/>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21"/>
      <c r="AS9" s="121"/>
      <c r="AT9" s="121"/>
      <c r="AU9" s="121"/>
      <c r="AV9" s="121"/>
      <c r="AW9" s="121"/>
      <c r="AX9" s="121"/>
      <c r="AY9" s="121"/>
      <c r="AZ9" s="121"/>
      <c r="BA9" s="121"/>
      <c r="BB9" s="121"/>
      <c r="BC9" s="121"/>
      <c r="BD9" s="121"/>
      <c r="BE9" s="121"/>
      <c r="BF9" s="121"/>
      <c r="BG9" s="121"/>
      <c r="BH9" s="121"/>
      <c r="BI9" s="121"/>
      <c r="BJ9" s="121"/>
      <c r="BK9" s="121"/>
      <c r="BL9" s="121"/>
      <c r="BM9" s="121"/>
      <c r="BN9" s="121"/>
      <c r="BO9" s="121"/>
      <c r="BP9" s="124"/>
    </row>
    <row r="10" spans="2:68" ht="26" outlineLevel="2" x14ac:dyDescent="0.2">
      <c r="B10" s="337" t="s">
        <v>130</v>
      </c>
      <c r="C10" s="18" t="s">
        <v>22</v>
      </c>
      <c r="D10" s="118"/>
      <c r="E10" s="109" t="s">
        <v>131</v>
      </c>
      <c r="F10" s="104"/>
      <c r="G10" s="219" t="s">
        <v>170</v>
      </c>
      <c r="H10" s="220"/>
      <c r="I10" s="143"/>
      <c r="J10" s="143"/>
      <c r="K10" s="121"/>
      <c r="L10" s="121"/>
      <c r="M10" s="121"/>
      <c r="N10" s="121"/>
      <c r="O10" s="121"/>
      <c r="P10" s="121"/>
      <c r="Q10" s="121"/>
      <c r="R10" s="121"/>
      <c r="S10" s="144"/>
      <c r="T10" s="144"/>
      <c r="U10" s="144"/>
      <c r="V10" s="144"/>
      <c r="W10" s="144"/>
      <c r="X10" s="144"/>
      <c r="Y10" s="144"/>
      <c r="Z10" s="144"/>
      <c r="AA10" s="144"/>
      <c r="AB10" s="144"/>
      <c r="AC10" s="144"/>
      <c r="AD10" s="144"/>
      <c r="AE10" s="144"/>
      <c r="AF10" s="144"/>
      <c r="AG10" s="144"/>
      <c r="AH10" s="144"/>
      <c r="AI10" s="144"/>
      <c r="AJ10" s="144"/>
      <c r="AK10" s="144"/>
      <c r="AL10" s="144"/>
      <c r="AM10" s="144"/>
      <c r="AN10" s="144"/>
      <c r="AO10" s="144"/>
      <c r="AP10" s="144"/>
      <c r="AQ10" s="144"/>
      <c r="AR10" s="144"/>
      <c r="AS10" s="144"/>
      <c r="AT10" s="144"/>
      <c r="AU10" s="144"/>
      <c r="AV10" s="144"/>
      <c r="AW10" s="144"/>
      <c r="AX10" s="144"/>
      <c r="AY10" s="144"/>
      <c r="AZ10" s="144"/>
      <c r="BA10" s="144"/>
      <c r="BB10" s="144"/>
      <c r="BC10" s="144"/>
      <c r="BD10" s="144"/>
      <c r="BE10" s="144"/>
      <c r="BF10" s="144"/>
      <c r="BG10" s="144"/>
      <c r="BH10" s="144"/>
      <c r="BI10" s="144"/>
      <c r="BJ10" s="144"/>
      <c r="BK10" s="144"/>
      <c r="BL10" s="144"/>
      <c r="BM10" s="144"/>
      <c r="BN10" s="144"/>
      <c r="BO10" s="144"/>
      <c r="BP10" s="145"/>
    </row>
    <row r="11" spans="2:68" ht="39" outlineLevel="2" x14ac:dyDescent="0.2">
      <c r="B11" s="337" t="s">
        <v>50</v>
      </c>
      <c r="C11" s="18" t="s">
        <v>488</v>
      </c>
      <c r="D11" s="118">
        <v>1.1000000000000001</v>
      </c>
      <c r="E11" s="109" t="s">
        <v>46</v>
      </c>
      <c r="F11" s="105"/>
      <c r="G11" s="13">
        <f>G9</f>
        <v>46235</v>
      </c>
      <c r="H11" s="14">
        <v>46262</v>
      </c>
      <c r="I11" s="143"/>
      <c r="J11" s="143"/>
      <c r="K11" s="146"/>
      <c r="L11" s="146"/>
      <c r="M11" s="121"/>
      <c r="N11" s="121"/>
      <c r="O11" s="121"/>
      <c r="P11" s="121"/>
      <c r="Q11" s="121"/>
      <c r="R11" s="121"/>
      <c r="S11" s="144"/>
      <c r="T11" s="144"/>
      <c r="U11" s="144"/>
      <c r="V11" s="144"/>
      <c r="W11" s="144"/>
      <c r="X11" s="144"/>
      <c r="Y11" s="144"/>
      <c r="Z11" s="144"/>
      <c r="AA11" s="144"/>
      <c r="AB11" s="144"/>
      <c r="AC11" s="144"/>
      <c r="AD11" s="144"/>
      <c r="AE11" s="144"/>
      <c r="AF11" s="144"/>
      <c r="AG11" s="144"/>
      <c r="AH11" s="144"/>
      <c r="AI11" s="144"/>
      <c r="AJ11" s="144"/>
      <c r="AK11" s="144"/>
      <c r="AL11" s="144"/>
      <c r="AM11" s="144"/>
      <c r="AN11" s="144"/>
      <c r="AO11" s="144"/>
      <c r="AP11" s="144"/>
      <c r="AQ11" s="144"/>
      <c r="AR11" s="144"/>
      <c r="AS11" s="144"/>
      <c r="AT11" s="144"/>
      <c r="AU11" s="144"/>
      <c r="AV11" s="144"/>
      <c r="AW11" s="144"/>
      <c r="AX11" s="144"/>
      <c r="AY11" s="144"/>
      <c r="AZ11" s="144"/>
      <c r="BA11" s="144"/>
      <c r="BB11" s="144"/>
      <c r="BC11" s="144"/>
      <c r="BD11" s="144"/>
      <c r="BE11" s="144"/>
      <c r="BF11" s="144"/>
      <c r="BG11" s="144"/>
      <c r="BH11" s="144"/>
      <c r="BI11" s="144"/>
      <c r="BJ11" s="144"/>
      <c r="BK11" s="144"/>
      <c r="BL11" s="144"/>
      <c r="BM11" s="144"/>
      <c r="BN11" s="144"/>
      <c r="BO11" s="144"/>
      <c r="BP11" s="145"/>
    </row>
    <row r="12" spans="2:68" ht="26" outlineLevel="2" x14ac:dyDescent="0.2">
      <c r="B12" s="337" t="s">
        <v>401</v>
      </c>
      <c r="C12" s="18" t="s">
        <v>488</v>
      </c>
      <c r="D12" s="118">
        <v>1.2</v>
      </c>
      <c r="E12" s="109" t="s">
        <v>128</v>
      </c>
      <c r="F12" s="105"/>
      <c r="G12" s="13">
        <v>46262</v>
      </c>
      <c r="H12" s="14">
        <v>46275</v>
      </c>
      <c r="I12" s="147"/>
      <c r="J12" s="144"/>
      <c r="K12" s="144"/>
      <c r="L12" s="146"/>
      <c r="M12" s="148"/>
      <c r="N12" s="144"/>
      <c r="O12" s="144"/>
      <c r="P12" s="144"/>
      <c r="Q12" s="144"/>
      <c r="R12" s="144"/>
      <c r="S12" s="144"/>
      <c r="T12" s="144"/>
      <c r="U12" s="144"/>
      <c r="V12" s="144"/>
      <c r="W12" s="144"/>
      <c r="X12" s="144"/>
      <c r="Y12" s="144"/>
      <c r="Z12" s="144"/>
      <c r="AA12" s="144"/>
      <c r="AB12" s="144"/>
      <c r="AC12" s="144"/>
      <c r="AD12" s="144"/>
      <c r="AE12" s="144"/>
      <c r="AF12" s="144"/>
      <c r="AG12" s="144"/>
      <c r="AH12" s="144"/>
      <c r="AI12" s="144"/>
      <c r="AJ12" s="144"/>
      <c r="AK12" s="144"/>
      <c r="AL12" s="144"/>
      <c r="AM12" s="144"/>
      <c r="AN12" s="144"/>
      <c r="AO12" s="144"/>
      <c r="AP12" s="144"/>
      <c r="AQ12" s="144"/>
      <c r="AR12" s="144"/>
      <c r="AS12" s="144"/>
      <c r="AT12" s="144"/>
      <c r="AU12" s="144"/>
      <c r="AV12" s="144"/>
      <c r="AW12" s="144"/>
      <c r="AX12" s="144"/>
      <c r="AY12" s="144"/>
      <c r="AZ12" s="144"/>
      <c r="BA12" s="144"/>
      <c r="BB12" s="144"/>
      <c r="BC12" s="144"/>
      <c r="BD12" s="144"/>
      <c r="BE12" s="144"/>
      <c r="BF12" s="144"/>
      <c r="BG12" s="144"/>
      <c r="BH12" s="144"/>
      <c r="BI12" s="144"/>
      <c r="BJ12" s="144"/>
      <c r="BK12" s="144"/>
      <c r="BL12" s="144"/>
      <c r="BM12" s="144"/>
      <c r="BN12" s="144"/>
      <c r="BO12" s="144"/>
      <c r="BP12" s="145"/>
    </row>
    <row r="13" spans="2:68" ht="78" outlineLevel="1" x14ac:dyDescent="0.2">
      <c r="B13" s="336" t="s">
        <v>18</v>
      </c>
      <c r="C13" s="19" t="s">
        <v>22</v>
      </c>
      <c r="D13" s="118"/>
      <c r="E13" s="108" t="s">
        <v>172</v>
      </c>
      <c r="F13" s="117" t="s">
        <v>505</v>
      </c>
      <c r="G13" s="40">
        <v>46268</v>
      </c>
      <c r="H13" s="41">
        <v>46289</v>
      </c>
      <c r="I13" s="149"/>
      <c r="J13" s="150"/>
      <c r="K13" s="150"/>
      <c r="L13" s="151"/>
      <c r="M13" s="152"/>
      <c r="N13" s="75" t="s">
        <v>23</v>
      </c>
      <c r="O13" s="147"/>
      <c r="P13" s="147"/>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4"/>
      <c r="AO13" s="144"/>
      <c r="AP13" s="144"/>
      <c r="AQ13" s="144"/>
      <c r="AR13" s="144"/>
      <c r="AS13" s="144"/>
      <c r="AT13" s="144"/>
      <c r="AU13" s="144"/>
      <c r="AV13" s="144"/>
      <c r="AW13" s="144"/>
      <c r="AX13" s="144"/>
      <c r="AY13" s="144"/>
      <c r="AZ13" s="144"/>
      <c r="BA13" s="144"/>
      <c r="BB13" s="144"/>
      <c r="BC13" s="144"/>
      <c r="BD13" s="144"/>
      <c r="BE13" s="144"/>
      <c r="BF13" s="144"/>
      <c r="BG13" s="144"/>
      <c r="BH13" s="144"/>
      <c r="BI13" s="144"/>
      <c r="BJ13" s="144"/>
      <c r="BK13" s="144"/>
      <c r="BL13" s="144"/>
      <c r="BM13" s="144"/>
      <c r="BN13" s="144"/>
      <c r="BO13" s="144"/>
      <c r="BP13" s="145"/>
    </row>
    <row r="14" spans="2:68" ht="26" outlineLevel="2" x14ac:dyDescent="0.2">
      <c r="B14" s="338" t="s">
        <v>51</v>
      </c>
      <c r="C14" s="23" t="s">
        <v>22</v>
      </c>
      <c r="D14" s="153"/>
      <c r="E14" s="110" t="s">
        <v>171</v>
      </c>
      <c r="F14" s="106"/>
      <c r="G14" s="25">
        <v>46268</v>
      </c>
      <c r="H14" s="20">
        <v>46282</v>
      </c>
      <c r="I14" s="154"/>
      <c r="J14" s="155"/>
      <c r="K14" s="155"/>
      <c r="L14" s="155"/>
      <c r="M14" s="156"/>
      <c r="N14" s="156"/>
      <c r="O14" s="147"/>
      <c r="P14" s="144"/>
      <c r="Q14" s="144"/>
      <c r="R14" s="144"/>
      <c r="S14" s="144"/>
      <c r="T14" s="144"/>
      <c r="U14" s="144"/>
      <c r="V14" s="144"/>
      <c r="W14" s="144"/>
      <c r="X14" s="144"/>
      <c r="Y14" s="144"/>
      <c r="Z14" s="144"/>
      <c r="AA14" s="144"/>
      <c r="AB14" s="144"/>
      <c r="AC14" s="144"/>
      <c r="AD14" s="144"/>
      <c r="AE14" s="144"/>
      <c r="AF14" s="144"/>
      <c r="AG14" s="144"/>
      <c r="AH14" s="144"/>
      <c r="AI14" s="144"/>
      <c r="AJ14" s="144"/>
      <c r="AK14" s="144"/>
      <c r="AL14" s="144"/>
      <c r="AM14" s="144"/>
      <c r="AN14" s="144"/>
      <c r="AO14" s="144"/>
      <c r="AP14" s="144"/>
      <c r="AQ14" s="144"/>
      <c r="AR14" s="144"/>
      <c r="AS14" s="144"/>
      <c r="AT14" s="144"/>
      <c r="AU14" s="144"/>
      <c r="AV14" s="144"/>
      <c r="AW14" s="144"/>
      <c r="AX14" s="144"/>
      <c r="AY14" s="144"/>
      <c r="AZ14" s="144"/>
      <c r="BA14" s="144"/>
      <c r="BB14" s="144"/>
      <c r="BC14" s="144"/>
      <c r="BD14" s="144"/>
      <c r="BE14" s="144"/>
      <c r="BF14" s="144"/>
      <c r="BG14" s="144"/>
      <c r="BH14" s="144"/>
      <c r="BI14" s="144"/>
      <c r="BJ14" s="144"/>
      <c r="BK14" s="144"/>
      <c r="BL14" s="144"/>
      <c r="BM14" s="144"/>
      <c r="BN14" s="144"/>
      <c r="BO14" s="121"/>
      <c r="BP14" s="124"/>
    </row>
    <row r="15" spans="2:68" x14ac:dyDescent="0.2">
      <c r="B15" s="157"/>
      <c r="C15" s="92"/>
      <c r="D15" s="158"/>
      <c r="E15" s="111"/>
      <c r="F15" s="92"/>
      <c r="G15" s="9"/>
      <c r="H15" s="9"/>
      <c r="I15" s="159"/>
      <c r="J15" s="159"/>
      <c r="K15" s="159"/>
      <c r="L15" s="159"/>
      <c r="M15" s="159"/>
      <c r="N15" s="159"/>
      <c r="O15" s="159"/>
      <c r="P15" s="159"/>
      <c r="Q15" s="159"/>
      <c r="R15" s="159"/>
      <c r="S15" s="159"/>
      <c r="T15" s="159"/>
      <c r="U15" s="159"/>
      <c r="V15" s="159"/>
      <c r="W15" s="159"/>
      <c r="X15" s="159"/>
      <c r="Y15" s="159"/>
      <c r="Z15" s="159"/>
      <c r="AA15" s="159"/>
      <c r="AB15" s="159"/>
      <c r="AC15" s="159"/>
      <c r="AD15" s="159"/>
      <c r="AE15" s="159"/>
      <c r="AF15" s="159"/>
      <c r="AG15" s="159"/>
      <c r="AH15" s="159"/>
      <c r="AI15" s="159"/>
      <c r="AJ15" s="159"/>
      <c r="AK15" s="159"/>
      <c r="AL15" s="159"/>
      <c r="AM15" s="159"/>
      <c r="AN15" s="159"/>
      <c r="AO15" s="159"/>
      <c r="AP15" s="159"/>
      <c r="AQ15" s="159"/>
      <c r="AR15" s="159"/>
      <c r="AS15" s="159"/>
      <c r="AT15" s="159"/>
      <c r="AU15" s="159"/>
      <c r="AV15" s="159"/>
      <c r="AW15" s="159"/>
      <c r="AX15" s="159"/>
      <c r="AY15" s="159"/>
      <c r="AZ15" s="159"/>
      <c r="BA15" s="159"/>
      <c r="BB15" s="159"/>
      <c r="BC15" s="159"/>
      <c r="BD15" s="159"/>
      <c r="BE15" s="159"/>
      <c r="BF15" s="159"/>
      <c r="BG15" s="159"/>
      <c r="BH15" s="159"/>
      <c r="BI15" s="159"/>
      <c r="BJ15" s="159"/>
      <c r="BK15" s="159"/>
      <c r="BL15" s="159"/>
      <c r="BM15" s="159"/>
      <c r="BN15" s="159"/>
      <c r="BO15" s="159"/>
      <c r="BP15" s="160"/>
    </row>
    <row r="16" spans="2:68" ht="26" x14ac:dyDescent="0.2">
      <c r="B16" s="339" t="s">
        <v>246</v>
      </c>
      <c r="C16" s="161"/>
      <c r="D16" s="162"/>
      <c r="E16" s="163"/>
      <c r="G16" s="25"/>
      <c r="H16" s="76"/>
      <c r="I16" s="134"/>
      <c r="J16" s="162"/>
      <c r="K16" s="164"/>
      <c r="L16" s="164"/>
      <c r="M16" s="164"/>
      <c r="N16" s="164"/>
      <c r="O16" s="164"/>
      <c r="P16" s="164"/>
      <c r="Q16" s="165"/>
      <c r="R16" s="164"/>
      <c r="S16" s="164"/>
      <c r="T16" s="164"/>
      <c r="U16" s="164"/>
      <c r="V16" s="164"/>
      <c r="W16" s="164"/>
      <c r="X16" s="164"/>
      <c r="Y16" s="162"/>
      <c r="Z16" s="162"/>
      <c r="AA16" s="162"/>
      <c r="AB16" s="162"/>
      <c r="AC16" s="162"/>
      <c r="AD16" s="162"/>
      <c r="AE16" s="162"/>
      <c r="AF16" s="162"/>
      <c r="AG16" s="162"/>
      <c r="AH16" s="162"/>
      <c r="AI16" s="162"/>
      <c r="AJ16" s="162"/>
      <c r="AK16" s="162"/>
      <c r="AL16" s="162"/>
      <c r="AM16" s="162"/>
      <c r="AN16" s="162"/>
      <c r="AO16" s="162"/>
      <c r="AP16" s="162"/>
      <c r="AQ16" s="162"/>
      <c r="AR16" s="162"/>
      <c r="AS16" s="162"/>
      <c r="AT16" s="162"/>
      <c r="AU16" s="162"/>
      <c r="AV16" s="162"/>
      <c r="AW16" s="162"/>
      <c r="AX16" s="162"/>
      <c r="AY16" s="162"/>
      <c r="AZ16" s="162"/>
      <c r="BA16" s="162"/>
      <c r="BB16" s="162"/>
      <c r="BC16" s="162"/>
      <c r="BD16" s="162"/>
      <c r="BE16" s="162"/>
      <c r="BF16" s="162"/>
      <c r="BG16" s="162"/>
      <c r="BH16" s="162"/>
      <c r="BI16" s="162"/>
      <c r="BJ16" s="162"/>
      <c r="BK16" s="162"/>
      <c r="BL16" s="162"/>
      <c r="BM16" s="162"/>
      <c r="BN16" s="162"/>
      <c r="BO16" s="162"/>
      <c r="BP16" s="166"/>
    </row>
    <row r="17" spans="2:68" ht="104" outlineLevel="1" x14ac:dyDescent="0.2">
      <c r="B17" s="340" t="s">
        <v>173</v>
      </c>
      <c r="C17" s="19" t="s">
        <v>22</v>
      </c>
      <c r="D17" s="118">
        <v>2</v>
      </c>
      <c r="E17" s="108" t="s">
        <v>227</v>
      </c>
      <c r="F17" s="119" t="s">
        <v>509</v>
      </c>
      <c r="G17" s="16">
        <v>46254</v>
      </c>
      <c r="H17" s="17">
        <v>46295</v>
      </c>
      <c r="I17" s="120"/>
      <c r="J17" s="121"/>
      <c r="K17" s="122"/>
      <c r="L17" s="122"/>
      <c r="M17" s="122"/>
      <c r="N17" s="122"/>
      <c r="O17" s="122"/>
      <c r="P17" s="123" t="s">
        <v>23</v>
      </c>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121"/>
      <c r="AV17" s="121"/>
      <c r="AW17" s="121"/>
      <c r="AX17" s="121"/>
      <c r="AY17" s="121"/>
      <c r="AZ17" s="121"/>
      <c r="BA17" s="121"/>
      <c r="BB17" s="121"/>
      <c r="BC17" s="121"/>
      <c r="BD17" s="121"/>
      <c r="BE17" s="121"/>
      <c r="BF17" s="121"/>
      <c r="BG17" s="121"/>
      <c r="BH17" s="121"/>
      <c r="BI17" s="121"/>
      <c r="BJ17" s="121"/>
      <c r="BK17" s="121"/>
      <c r="BL17" s="121"/>
      <c r="BM17" s="121"/>
      <c r="BN17" s="121"/>
      <c r="BO17" s="121"/>
      <c r="BP17" s="124"/>
    </row>
    <row r="18" spans="2:68" ht="26" outlineLevel="2" x14ac:dyDescent="0.2">
      <c r="B18" s="341" t="s">
        <v>220</v>
      </c>
      <c r="C18" s="18" t="s">
        <v>489</v>
      </c>
      <c r="D18" s="118"/>
      <c r="E18" s="109" t="s">
        <v>228</v>
      </c>
      <c r="F18" s="167"/>
      <c r="G18" s="1">
        <v>46254</v>
      </c>
      <c r="H18" s="2">
        <v>46275</v>
      </c>
      <c r="I18" s="120"/>
      <c r="J18" s="121"/>
      <c r="K18" s="168"/>
      <c r="L18" s="168"/>
      <c r="M18" s="168"/>
      <c r="N18" s="121"/>
      <c r="O18" s="121"/>
      <c r="P18" s="121"/>
      <c r="Q18" s="162"/>
      <c r="R18" s="121"/>
      <c r="S18" s="121"/>
      <c r="T18" s="121"/>
      <c r="U18" s="121"/>
      <c r="W18" s="121"/>
      <c r="X18" s="121"/>
      <c r="Y18" s="121"/>
      <c r="Z18" s="121"/>
      <c r="AA18" s="121"/>
      <c r="AB18" s="121"/>
      <c r="AC18" s="121"/>
      <c r="AD18" s="121"/>
      <c r="AE18" s="121"/>
      <c r="AF18" s="121"/>
      <c r="AG18" s="121"/>
      <c r="AH18" s="121"/>
      <c r="AI18" s="121"/>
      <c r="AJ18" s="121"/>
      <c r="AK18" s="121"/>
      <c r="AL18" s="121"/>
      <c r="AM18" s="121"/>
      <c r="AN18" s="121"/>
      <c r="AO18" s="121"/>
      <c r="AP18" s="121"/>
      <c r="AQ18" s="121"/>
      <c r="AR18" s="121"/>
      <c r="AS18" s="121"/>
      <c r="AT18" s="121"/>
      <c r="AU18" s="121"/>
      <c r="AV18" s="121"/>
      <c r="AW18" s="121"/>
      <c r="AX18" s="121"/>
      <c r="AY18" s="121"/>
      <c r="AZ18" s="121"/>
      <c r="BA18" s="121"/>
      <c r="BB18" s="121"/>
      <c r="BC18" s="121"/>
      <c r="BD18" s="121"/>
      <c r="BE18" s="121"/>
      <c r="BF18" s="121"/>
      <c r="BG18" s="121"/>
      <c r="BH18" s="121"/>
      <c r="BI18" s="121"/>
      <c r="BJ18" s="121"/>
      <c r="BK18" s="121"/>
      <c r="BL18" s="121"/>
      <c r="BM18" s="121"/>
      <c r="BN18" s="121"/>
      <c r="BO18" s="121"/>
      <c r="BP18" s="124"/>
    </row>
    <row r="19" spans="2:68" ht="26" outlineLevel="2" x14ac:dyDescent="0.2">
      <c r="B19" s="341" t="s">
        <v>499</v>
      </c>
      <c r="C19" s="18" t="s">
        <v>22</v>
      </c>
      <c r="D19" s="118">
        <v>3.1</v>
      </c>
      <c r="E19" s="109" t="s">
        <v>229</v>
      </c>
      <c r="F19" s="167"/>
      <c r="G19" s="1">
        <v>46261</v>
      </c>
      <c r="H19" s="2">
        <v>46275</v>
      </c>
      <c r="I19" s="120"/>
      <c r="J19" s="121"/>
      <c r="K19" s="121"/>
      <c r="L19" s="168"/>
      <c r="M19" s="168"/>
      <c r="N19" s="121"/>
      <c r="O19" s="121"/>
      <c r="P19" s="121"/>
      <c r="Q19" s="121"/>
      <c r="R19" s="121"/>
      <c r="S19" s="121"/>
      <c r="T19" s="121"/>
      <c r="U19" s="121"/>
      <c r="V19" s="121"/>
      <c r="W19" s="121"/>
      <c r="X19" s="121"/>
      <c r="Y19" s="121"/>
      <c r="Z19" s="121"/>
      <c r="AA19" s="121"/>
      <c r="AB19" s="121"/>
      <c r="AC19" s="121"/>
      <c r="AD19" s="121"/>
      <c r="AE19" s="121"/>
      <c r="AF19" s="121"/>
      <c r="AG19" s="121"/>
      <c r="AH19" s="121"/>
      <c r="AI19" s="121"/>
      <c r="AJ19" s="121"/>
      <c r="AK19" s="121"/>
      <c r="AL19" s="121"/>
      <c r="AM19" s="121"/>
      <c r="AN19" s="121"/>
      <c r="AO19" s="121"/>
      <c r="AP19" s="121"/>
      <c r="AQ19" s="121"/>
      <c r="AR19" s="121"/>
      <c r="AS19" s="121"/>
      <c r="AT19" s="121"/>
      <c r="AU19" s="121"/>
      <c r="AV19" s="121"/>
      <c r="AW19" s="121"/>
      <c r="AX19" s="121"/>
      <c r="AY19" s="121"/>
      <c r="AZ19" s="121"/>
      <c r="BA19" s="121"/>
      <c r="BB19" s="121"/>
      <c r="BC19" s="121"/>
      <c r="BD19" s="121"/>
      <c r="BE19" s="121"/>
      <c r="BF19" s="121"/>
      <c r="BG19" s="121"/>
      <c r="BH19" s="121"/>
      <c r="BI19" s="121"/>
      <c r="BJ19" s="121"/>
      <c r="BK19" s="121"/>
      <c r="BL19" s="121"/>
      <c r="BM19" s="121"/>
      <c r="BN19" s="121"/>
      <c r="BO19" s="121"/>
      <c r="BP19" s="124"/>
    </row>
    <row r="20" spans="2:68" ht="26" outlineLevel="2" x14ac:dyDescent="0.2">
      <c r="B20" s="341" t="s">
        <v>500</v>
      </c>
      <c r="C20" s="18" t="s">
        <v>490</v>
      </c>
      <c r="D20" s="118">
        <v>3.1</v>
      </c>
      <c r="E20" s="109" t="s">
        <v>230</v>
      </c>
      <c r="F20" s="167"/>
      <c r="G20" s="1">
        <v>46261</v>
      </c>
      <c r="H20" s="2">
        <v>46275</v>
      </c>
      <c r="I20" s="120"/>
      <c r="J20" s="121"/>
      <c r="K20" s="121"/>
      <c r="L20" s="168"/>
      <c r="M20" s="168"/>
      <c r="N20" s="121"/>
      <c r="O20" s="121"/>
      <c r="P20" s="121"/>
      <c r="Q20" s="121"/>
      <c r="R20" s="121"/>
      <c r="S20" s="121"/>
      <c r="T20" s="121"/>
      <c r="U20" s="121"/>
      <c r="V20" s="121"/>
      <c r="W20" s="121"/>
      <c r="X20" s="121"/>
      <c r="Y20" s="121"/>
      <c r="Z20" s="121"/>
      <c r="AA20" s="121"/>
      <c r="AB20" s="121"/>
      <c r="AC20" s="121"/>
      <c r="AD20" s="121"/>
      <c r="AE20" s="121"/>
      <c r="AF20" s="121"/>
      <c r="AG20" s="121"/>
      <c r="AH20" s="121"/>
      <c r="AI20" s="121"/>
      <c r="AJ20" s="121"/>
      <c r="AK20" s="121"/>
      <c r="AL20" s="121"/>
      <c r="AM20" s="121"/>
      <c r="AN20" s="121"/>
      <c r="AO20" s="121"/>
      <c r="AP20" s="121"/>
      <c r="AQ20" s="121"/>
      <c r="AR20" s="121"/>
      <c r="AS20" s="121"/>
      <c r="AT20" s="121"/>
      <c r="AU20" s="121"/>
      <c r="AV20" s="121"/>
      <c r="AW20" s="121"/>
      <c r="AX20" s="121"/>
      <c r="AY20" s="121"/>
      <c r="AZ20" s="121"/>
      <c r="BA20" s="121"/>
      <c r="BB20" s="121"/>
      <c r="BC20" s="121"/>
      <c r="BD20" s="121"/>
      <c r="BE20" s="121"/>
      <c r="BF20" s="121"/>
      <c r="BG20" s="121"/>
      <c r="BH20" s="121"/>
      <c r="BI20" s="121"/>
      <c r="BJ20" s="121"/>
      <c r="BK20" s="121"/>
      <c r="BL20" s="121"/>
      <c r="BM20" s="121"/>
      <c r="BN20" s="121"/>
      <c r="BO20" s="121"/>
      <c r="BP20" s="124"/>
    </row>
    <row r="21" spans="2:68" ht="26" outlineLevel="2" x14ac:dyDescent="0.2">
      <c r="B21" s="341" t="s">
        <v>501</v>
      </c>
      <c r="C21" s="18" t="s">
        <v>491</v>
      </c>
      <c r="D21" s="118">
        <v>3.1</v>
      </c>
      <c r="E21" s="109" t="s">
        <v>231</v>
      </c>
      <c r="F21" s="167"/>
      <c r="G21" s="1">
        <v>46261</v>
      </c>
      <c r="H21" s="2">
        <v>46275</v>
      </c>
      <c r="I21" s="120"/>
      <c r="J21" s="121"/>
      <c r="K21" s="121"/>
      <c r="L21" s="168"/>
      <c r="M21" s="168"/>
      <c r="N21" s="121"/>
      <c r="O21" s="121"/>
      <c r="P21" s="121"/>
      <c r="Q21" s="121"/>
      <c r="R21" s="121"/>
      <c r="S21" s="121"/>
      <c r="T21" s="121"/>
      <c r="U21" s="121"/>
      <c r="V21" s="121"/>
      <c r="W21" s="121"/>
      <c r="X21" s="121"/>
      <c r="Y21" s="121"/>
      <c r="Z21" s="121"/>
      <c r="AA21" s="121"/>
      <c r="AB21" s="121"/>
      <c r="AC21" s="121"/>
      <c r="AD21" s="121"/>
      <c r="AE21" s="121"/>
      <c r="AF21" s="121"/>
      <c r="AG21" s="121"/>
      <c r="AH21" s="121"/>
      <c r="AI21" s="121"/>
      <c r="AJ21" s="121"/>
      <c r="AK21" s="121"/>
      <c r="AL21" s="121"/>
      <c r="AM21" s="121"/>
      <c r="AN21" s="121"/>
      <c r="AO21" s="121"/>
      <c r="AP21" s="121"/>
      <c r="AQ21" s="121"/>
      <c r="AR21" s="121"/>
      <c r="AS21" s="121"/>
      <c r="AT21" s="121"/>
      <c r="AU21" s="121"/>
      <c r="AV21" s="121"/>
      <c r="AW21" s="121"/>
      <c r="AX21" s="121"/>
      <c r="AY21" s="121"/>
      <c r="AZ21" s="121"/>
      <c r="BA21" s="121"/>
      <c r="BB21" s="121"/>
      <c r="BC21" s="121"/>
      <c r="BD21" s="121"/>
      <c r="BE21" s="121"/>
      <c r="BF21" s="121"/>
      <c r="BG21" s="121"/>
      <c r="BH21" s="121"/>
      <c r="BI21" s="121"/>
      <c r="BJ21" s="121"/>
      <c r="BK21" s="121"/>
      <c r="BL21" s="121"/>
      <c r="BM21" s="121"/>
      <c r="BN21" s="121"/>
      <c r="BO21" s="121"/>
      <c r="BP21" s="124"/>
    </row>
    <row r="22" spans="2:68" ht="39" outlineLevel="2" x14ac:dyDescent="0.2">
      <c r="B22" s="342" t="s">
        <v>502</v>
      </c>
      <c r="C22" s="18" t="s">
        <v>22</v>
      </c>
      <c r="D22" s="118" t="s">
        <v>221</v>
      </c>
      <c r="E22" s="109" t="s">
        <v>227</v>
      </c>
      <c r="F22" s="167"/>
      <c r="G22" s="1">
        <v>46268</v>
      </c>
      <c r="H22" s="2">
        <v>46295</v>
      </c>
      <c r="I22" s="120"/>
      <c r="J22" s="121"/>
      <c r="K22" s="121"/>
      <c r="L22" s="121"/>
      <c r="M22" s="168"/>
      <c r="N22" s="168"/>
      <c r="O22" s="168"/>
      <c r="P22" s="168"/>
      <c r="Q22" s="169"/>
      <c r="R22" s="169"/>
      <c r="S22" s="169"/>
      <c r="T22" s="169"/>
      <c r="U22" s="169"/>
      <c r="V22" s="169"/>
      <c r="W22" s="169"/>
      <c r="X22" s="169"/>
      <c r="Y22" s="169"/>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4"/>
    </row>
    <row r="23" spans="2:68" outlineLevel="1" x14ac:dyDescent="0.2">
      <c r="B23" s="340" t="s">
        <v>483</v>
      </c>
      <c r="C23" s="19" t="s">
        <v>22</v>
      </c>
      <c r="D23" s="170" t="s">
        <v>435</v>
      </c>
      <c r="E23" s="109" t="s">
        <v>422</v>
      </c>
      <c r="F23" s="167"/>
      <c r="G23" s="16">
        <v>46261</v>
      </c>
      <c r="H23" s="93">
        <v>46158</v>
      </c>
      <c r="I23" s="120"/>
      <c r="J23" s="121"/>
      <c r="K23" s="162"/>
      <c r="L23" s="122"/>
      <c r="M23" s="122"/>
      <c r="N23" s="122"/>
      <c r="O23" s="122"/>
      <c r="P23" s="122"/>
      <c r="Q23" s="122"/>
      <c r="R23" s="122"/>
      <c r="S23" s="162"/>
      <c r="T23" s="162"/>
      <c r="U23" s="162"/>
      <c r="V23" s="162"/>
      <c r="W23" s="162"/>
      <c r="X23" s="162"/>
      <c r="Y23" s="162"/>
      <c r="Z23" s="162"/>
      <c r="AA23" s="162"/>
      <c r="AB23" s="162"/>
      <c r="AC23" s="162"/>
      <c r="AD23" s="162"/>
      <c r="AE23" s="162"/>
      <c r="AF23" s="162"/>
      <c r="AG23" s="162"/>
      <c r="AH23" s="162"/>
      <c r="AI23" s="162"/>
      <c r="AJ23" s="162"/>
      <c r="AK23" s="162"/>
      <c r="AL23" s="162"/>
      <c r="AM23" s="162"/>
      <c r="AN23" s="162"/>
      <c r="AO23" s="162"/>
      <c r="AP23" s="162"/>
      <c r="AQ23" s="162"/>
      <c r="AR23" s="162"/>
      <c r="AS23" s="162"/>
      <c r="AT23" s="162"/>
      <c r="AU23" s="162"/>
      <c r="AV23" s="162"/>
      <c r="AW23" s="162"/>
      <c r="AX23" s="162"/>
      <c r="AY23" s="162"/>
      <c r="AZ23" s="162"/>
      <c r="BA23" s="162"/>
      <c r="BB23" s="162"/>
      <c r="BC23" s="162"/>
      <c r="BD23" s="162"/>
      <c r="BE23" s="162"/>
      <c r="BF23" s="162"/>
      <c r="BG23" s="162"/>
      <c r="BH23" s="162"/>
      <c r="BI23" s="162"/>
      <c r="BJ23" s="162"/>
      <c r="BK23" s="162"/>
      <c r="BL23" s="162"/>
      <c r="BM23" s="162"/>
      <c r="BN23" s="162"/>
      <c r="BO23" s="162"/>
      <c r="BP23" s="166"/>
    </row>
    <row r="24" spans="2:68" ht="26" outlineLevel="2" x14ac:dyDescent="0.2">
      <c r="B24" s="341" t="s">
        <v>375</v>
      </c>
      <c r="C24" s="18" t="s">
        <v>22</v>
      </c>
      <c r="D24" s="170"/>
      <c r="E24" s="109" t="s">
        <v>423</v>
      </c>
      <c r="F24" s="167"/>
      <c r="G24" s="1">
        <v>46261</v>
      </c>
      <c r="H24" s="2">
        <v>46275</v>
      </c>
      <c r="I24" s="120"/>
      <c r="J24" s="121"/>
      <c r="K24" s="121"/>
      <c r="L24" s="168"/>
      <c r="M24" s="168"/>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1"/>
      <c r="BP24" s="124"/>
    </row>
    <row r="25" spans="2:68" outlineLevel="2" x14ac:dyDescent="0.2">
      <c r="B25" s="341" t="s">
        <v>376</v>
      </c>
      <c r="C25" s="18" t="s">
        <v>488</v>
      </c>
      <c r="D25" s="171">
        <v>4.0999999999999996</v>
      </c>
      <c r="E25" s="109" t="s">
        <v>424</v>
      </c>
      <c r="F25" s="167"/>
      <c r="G25" s="1">
        <v>46268</v>
      </c>
      <c r="H25" s="2">
        <v>46289</v>
      </c>
      <c r="I25" s="120"/>
      <c r="J25" s="121"/>
      <c r="K25" s="121"/>
      <c r="L25" s="121"/>
      <c r="M25" s="168"/>
      <c r="N25" s="168"/>
      <c r="O25" s="168"/>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4"/>
    </row>
    <row r="26" spans="2:68" outlineLevel="2" x14ac:dyDescent="0.2">
      <c r="B26" s="341" t="s">
        <v>377</v>
      </c>
      <c r="C26" s="18" t="s">
        <v>22</v>
      </c>
      <c r="D26" s="171">
        <v>4.2</v>
      </c>
      <c r="E26" s="109" t="s">
        <v>425</v>
      </c>
      <c r="F26" s="167"/>
      <c r="G26" s="1">
        <v>46286</v>
      </c>
      <c r="H26" s="2">
        <v>46304</v>
      </c>
      <c r="I26" s="120"/>
      <c r="J26" s="121"/>
      <c r="K26" s="121"/>
      <c r="L26" s="121"/>
      <c r="M26" s="121"/>
      <c r="N26" s="121"/>
      <c r="O26" s="168"/>
      <c r="P26" s="168"/>
      <c r="Q26" s="168"/>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4"/>
    </row>
    <row r="27" spans="2:68" ht="26" outlineLevel="2" x14ac:dyDescent="0.2">
      <c r="B27" s="342" t="s">
        <v>378</v>
      </c>
      <c r="C27" s="18" t="s">
        <v>22</v>
      </c>
      <c r="D27" s="171">
        <v>4.3</v>
      </c>
      <c r="E27" s="109" t="s">
        <v>426</v>
      </c>
      <c r="F27" s="105"/>
      <c r="G27" s="13">
        <v>46300</v>
      </c>
      <c r="H27" s="14">
        <v>46311</v>
      </c>
      <c r="I27" s="147"/>
      <c r="J27" s="144"/>
      <c r="K27" s="144"/>
      <c r="L27" s="144"/>
      <c r="M27" s="144"/>
      <c r="N27" s="144"/>
      <c r="O27" s="144"/>
      <c r="P27" s="144"/>
      <c r="Q27" s="168"/>
      <c r="R27" s="168"/>
      <c r="S27" s="121"/>
      <c r="T27" s="121"/>
      <c r="U27" s="121"/>
      <c r="V27" s="144"/>
      <c r="W27" s="144"/>
      <c r="X27" s="144"/>
      <c r="Y27" s="144"/>
      <c r="Z27" s="144"/>
      <c r="AA27" s="144"/>
      <c r="AB27" s="144"/>
      <c r="AC27" s="144"/>
      <c r="AD27" s="144"/>
      <c r="AE27" s="144"/>
      <c r="AF27" s="144"/>
      <c r="AG27" s="144"/>
      <c r="AH27" s="144"/>
      <c r="AI27" s="144"/>
      <c r="AJ27" s="144"/>
      <c r="AK27" s="144"/>
      <c r="AL27" s="144"/>
      <c r="AM27" s="144"/>
      <c r="AN27" s="144"/>
      <c r="AO27" s="144"/>
      <c r="AP27" s="144"/>
      <c r="AQ27" s="144"/>
      <c r="AR27" s="144"/>
      <c r="AS27" s="144"/>
      <c r="AT27" s="144"/>
      <c r="AU27" s="144"/>
      <c r="AV27" s="144"/>
      <c r="AW27" s="144"/>
      <c r="AX27" s="144"/>
      <c r="AY27" s="144"/>
      <c r="AZ27" s="144"/>
      <c r="BA27" s="144"/>
      <c r="BB27" s="144"/>
      <c r="BC27" s="144"/>
      <c r="BD27" s="144"/>
      <c r="BE27" s="144"/>
      <c r="BF27" s="144"/>
      <c r="BG27" s="144"/>
      <c r="BH27" s="144"/>
      <c r="BI27" s="144"/>
      <c r="BJ27" s="144"/>
      <c r="BK27" s="144"/>
      <c r="BL27" s="144"/>
      <c r="BM27" s="144"/>
      <c r="BN27" s="144"/>
      <c r="BO27" s="144"/>
      <c r="BP27" s="145"/>
    </row>
    <row r="28" spans="2:68" ht="26" outlineLevel="1" x14ac:dyDescent="0.2">
      <c r="B28" s="340" t="s">
        <v>485</v>
      </c>
      <c r="C28" s="19" t="s">
        <v>22</v>
      </c>
      <c r="D28" s="171" t="s">
        <v>64</v>
      </c>
      <c r="E28" s="109" t="s">
        <v>427</v>
      </c>
      <c r="F28" s="167"/>
      <c r="G28" s="16">
        <v>46261</v>
      </c>
      <c r="H28" s="93">
        <v>46326</v>
      </c>
      <c r="I28" s="147"/>
      <c r="J28" s="144"/>
      <c r="K28" s="144"/>
      <c r="L28" s="122"/>
      <c r="M28" s="122"/>
      <c r="N28" s="122"/>
      <c r="O28" s="122"/>
      <c r="P28" s="122"/>
      <c r="Q28" s="122"/>
      <c r="R28" s="122"/>
      <c r="S28" s="122"/>
      <c r="T28" s="123" t="s">
        <v>23</v>
      </c>
      <c r="U28" s="144"/>
      <c r="V28" s="144"/>
      <c r="W28" s="144"/>
      <c r="X28" s="144"/>
      <c r="Y28" s="144"/>
      <c r="Z28" s="144"/>
      <c r="AA28" s="144"/>
      <c r="AB28" s="144"/>
      <c r="AC28" s="144"/>
      <c r="AD28" s="144"/>
      <c r="AE28" s="144"/>
      <c r="AF28" s="144"/>
      <c r="AG28" s="144"/>
      <c r="AH28" s="144"/>
      <c r="AI28" s="144"/>
      <c r="AJ28" s="144"/>
      <c r="AK28" s="144"/>
      <c r="AL28" s="144"/>
      <c r="AM28" s="144"/>
      <c r="AN28" s="144"/>
      <c r="AO28" s="144"/>
      <c r="AP28" s="144"/>
      <c r="AQ28" s="144"/>
      <c r="AR28" s="144"/>
      <c r="AS28" s="144"/>
      <c r="AT28" s="144"/>
      <c r="AU28" s="144"/>
      <c r="AV28" s="144"/>
      <c r="AW28" s="144"/>
      <c r="AX28" s="144"/>
      <c r="AY28" s="144"/>
      <c r="AZ28" s="144"/>
      <c r="BA28" s="144"/>
      <c r="BB28" s="144"/>
      <c r="BC28" s="144"/>
      <c r="BD28" s="144"/>
      <c r="BE28" s="144"/>
      <c r="BF28" s="144"/>
      <c r="BG28" s="144"/>
      <c r="BH28" s="144"/>
      <c r="BI28" s="144"/>
      <c r="BJ28" s="144"/>
      <c r="BK28" s="144"/>
      <c r="BL28" s="144"/>
      <c r="BM28" s="144"/>
      <c r="BN28" s="144"/>
      <c r="BO28" s="144"/>
      <c r="BP28" s="145"/>
    </row>
    <row r="29" spans="2:68" ht="26" outlineLevel="2" x14ac:dyDescent="0.2">
      <c r="B29" s="341" t="s">
        <v>486</v>
      </c>
      <c r="C29" s="18" t="s">
        <v>492</v>
      </c>
      <c r="D29" s="171"/>
      <c r="E29" s="109" t="s">
        <v>428</v>
      </c>
      <c r="F29" s="167"/>
      <c r="G29" s="1">
        <v>46261</v>
      </c>
      <c r="H29" s="14">
        <v>46318</v>
      </c>
      <c r="I29" s="147"/>
      <c r="J29" s="144"/>
      <c r="K29" s="144"/>
      <c r="L29" s="168"/>
      <c r="M29" s="168"/>
      <c r="N29" s="168"/>
      <c r="O29" s="168"/>
      <c r="P29" s="168"/>
      <c r="Q29" s="168"/>
      <c r="R29" s="168"/>
      <c r="S29" s="168"/>
      <c r="T29" s="144"/>
      <c r="U29" s="144"/>
      <c r="V29" s="144"/>
      <c r="W29" s="144"/>
      <c r="X29" s="144"/>
      <c r="Y29" s="144"/>
      <c r="Z29" s="144"/>
      <c r="AA29" s="144"/>
      <c r="AB29" s="144"/>
      <c r="AC29" s="144"/>
      <c r="AD29" s="144"/>
      <c r="AE29" s="144"/>
      <c r="AF29" s="144"/>
      <c r="AG29" s="144"/>
      <c r="AH29" s="144"/>
      <c r="AI29" s="144"/>
      <c r="AJ29" s="144"/>
      <c r="AK29" s="144"/>
      <c r="AL29" s="144"/>
      <c r="AM29" s="144"/>
      <c r="AN29" s="144"/>
      <c r="AO29" s="144"/>
      <c r="AP29" s="144"/>
      <c r="AQ29" s="144"/>
      <c r="AR29" s="144"/>
      <c r="AS29" s="144"/>
      <c r="AT29" s="144"/>
      <c r="AU29" s="144"/>
      <c r="AV29" s="144"/>
      <c r="AW29" s="144"/>
      <c r="AX29" s="144"/>
      <c r="AY29" s="144"/>
      <c r="AZ29" s="144"/>
      <c r="BA29" s="144"/>
      <c r="BB29" s="144"/>
      <c r="BC29" s="144"/>
      <c r="BD29" s="144"/>
      <c r="BE29" s="144"/>
      <c r="BF29" s="144"/>
      <c r="BG29" s="144"/>
      <c r="BH29" s="144"/>
      <c r="BI29" s="144"/>
      <c r="BJ29" s="144"/>
      <c r="BK29" s="144"/>
      <c r="BL29" s="144"/>
      <c r="BM29" s="144"/>
      <c r="BN29" s="144"/>
      <c r="BO29" s="144"/>
      <c r="BP29" s="145"/>
    </row>
    <row r="30" spans="2:68" ht="26" outlineLevel="2" x14ac:dyDescent="0.2">
      <c r="B30" s="342" t="s">
        <v>487</v>
      </c>
      <c r="C30" s="18" t="s">
        <v>22</v>
      </c>
      <c r="D30" s="171">
        <v>5.4</v>
      </c>
      <c r="E30" s="109" t="s">
        <v>196</v>
      </c>
      <c r="F30" s="105"/>
      <c r="G30" s="13">
        <v>46314</v>
      </c>
      <c r="H30" s="14">
        <v>46326</v>
      </c>
      <c r="I30" s="147"/>
      <c r="J30" s="144"/>
      <c r="K30" s="144"/>
      <c r="L30" s="144"/>
      <c r="M30" s="144"/>
      <c r="N30" s="144"/>
      <c r="O30" s="144"/>
      <c r="P30" s="144"/>
      <c r="Q30" s="144"/>
      <c r="R30" s="144"/>
      <c r="S30" s="168"/>
      <c r="T30" s="168"/>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4"/>
      <c r="AX30" s="144"/>
      <c r="AY30" s="144"/>
      <c r="AZ30" s="144"/>
      <c r="BA30" s="144"/>
      <c r="BB30" s="144"/>
      <c r="BC30" s="144"/>
      <c r="BD30" s="144"/>
      <c r="BE30" s="144"/>
      <c r="BF30" s="144"/>
      <c r="BG30" s="144"/>
      <c r="BH30" s="144"/>
      <c r="BI30" s="144"/>
      <c r="BJ30" s="144"/>
      <c r="BK30" s="144"/>
      <c r="BL30" s="144"/>
      <c r="BM30" s="144"/>
      <c r="BN30" s="144"/>
      <c r="BO30" s="144"/>
      <c r="BP30" s="145"/>
    </row>
    <row r="31" spans="2:68" ht="52" outlineLevel="1" x14ac:dyDescent="0.2">
      <c r="B31" s="340" t="s">
        <v>245</v>
      </c>
      <c r="C31" s="19" t="s">
        <v>22</v>
      </c>
      <c r="D31" s="171">
        <v>5.0999999999999996</v>
      </c>
      <c r="E31" s="109" t="s">
        <v>429</v>
      </c>
      <c r="F31" s="117" t="s">
        <v>506</v>
      </c>
      <c r="G31" s="16">
        <v>46286</v>
      </c>
      <c r="H31" s="93">
        <v>46326</v>
      </c>
      <c r="I31" s="147"/>
      <c r="J31" s="144"/>
      <c r="K31" s="144"/>
      <c r="L31" s="144"/>
      <c r="M31" s="144"/>
      <c r="N31" s="144"/>
      <c r="O31" s="122"/>
      <c r="P31" s="122"/>
      <c r="Q31" s="122"/>
      <c r="R31" s="122"/>
      <c r="S31" s="122"/>
      <c r="T31" s="122"/>
      <c r="U31" s="123" t="s">
        <v>23</v>
      </c>
      <c r="V31" s="172"/>
      <c r="W31" s="172"/>
      <c r="X31" s="172"/>
      <c r="Y31" s="172"/>
      <c r="Z31" s="144"/>
      <c r="AA31" s="144"/>
      <c r="AB31" s="144"/>
      <c r="AC31" s="144"/>
      <c r="AD31" s="144"/>
      <c r="AE31" s="144"/>
      <c r="AF31" s="144"/>
      <c r="AG31" s="144"/>
      <c r="AH31" s="144"/>
      <c r="AI31" s="144"/>
      <c r="AJ31" s="144"/>
      <c r="AK31" s="144"/>
      <c r="AL31" s="144"/>
      <c r="AM31" s="144"/>
      <c r="AN31" s="144"/>
      <c r="AO31" s="144"/>
      <c r="AP31" s="144"/>
      <c r="AQ31" s="144"/>
      <c r="AR31" s="144"/>
      <c r="AS31" s="144"/>
      <c r="AT31" s="144"/>
      <c r="AU31" s="144"/>
      <c r="AV31" s="144"/>
      <c r="AW31" s="144"/>
      <c r="AX31" s="144"/>
      <c r="AY31" s="144"/>
      <c r="AZ31" s="144"/>
      <c r="BA31" s="144"/>
      <c r="BB31" s="144"/>
      <c r="BC31" s="144"/>
      <c r="BD31" s="144"/>
      <c r="BE31" s="144"/>
      <c r="BF31" s="144"/>
      <c r="BG31" s="144"/>
      <c r="BH31" s="144"/>
      <c r="BI31" s="144"/>
      <c r="BJ31" s="144"/>
      <c r="BK31" s="144"/>
      <c r="BL31" s="144"/>
      <c r="BM31" s="144"/>
      <c r="BN31" s="144"/>
      <c r="BO31" s="144"/>
      <c r="BP31" s="145"/>
    </row>
    <row r="32" spans="2:68" ht="26" outlineLevel="2" x14ac:dyDescent="0.2">
      <c r="B32" s="341" t="s">
        <v>222</v>
      </c>
      <c r="C32" s="18" t="s">
        <v>488</v>
      </c>
      <c r="D32" s="171"/>
      <c r="E32" s="109" t="s">
        <v>201</v>
      </c>
      <c r="F32" s="167"/>
      <c r="G32" s="1">
        <v>46286</v>
      </c>
      <c r="H32" s="2">
        <v>46304</v>
      </c>
      <c r="I32" s="147"/>
      <c r="J32" s="144"/>
      <c r="K32" s="144"/>
      <c r="L32" s="144"/>
      <c r="M32" s="144"/>
      <c r="N32" s="144"/>
      <c r="O32" s="168"/>
      <c r="P32" s="168"/>
      <c r="Q32" s="168"/>
      <c r="R32" s="144"/>
      <c r="S32" s="144"/>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c r="AW32" s="144"/>
      <c r="AX32" s="144"/>
      <c r="AY32" s="144"/>
      <c r="AZ32" s="144"/>
      <c r="BA32" s="144"/>
      <c r="BB32" s="144"/>
      <c r="BC32" s="144"/>
      <c r="BD32" s="144"/>
      <c r="BE32" s="144"/>
      <c r="BF32" s="144"/>
      <c r="BG32" s="144"/>
      <c r="BH32" s="144"/>
      <c r="BI32" s="144"/>
      <c r="BJ32" s="144"/>
      <c r="BK32" s="144"/>
      <c r="BL32" s="144"/>
      <c r="BM32" s="144"/>
      <c r="BN32" s="144"/>
      <c r="BO32" s="144"/>
      <c r="BP32" s="145"/>
    </row>
    <row r="33" spans="2:68" ht="26" outlineLevel="2" x14ac:dyDescent="0.2">
      <c r="B33" s="341" t="s">
        <v>223</v>
      </c>
      <c r="C33" s="18" t="s">
        <v>488</v>
      </c>
      <c r="D33" s="171">
        <v>6.1</v>
      </c>
      <c r="E33" s="109" t="s">
        <v>430</v>
      </c>
      <c r="F33" s="167"/>
      <c r="G33" s="1">
        <v>46286</v>
      </c>
      <c r="H33" s="2">
        <v>46295</v>
      </c>
      <c r="I33" s="147"/>
      <c r="J33" s="144"/>
      <c r="K33" s="144"/>
      <c r="L33" s="144"/>
      <c r="M33" s="144"/>
      <c r="N33" s="144"/>
      <c r="O33" s="168"/>
      <c r="P33" s="168"/>
      <c r="Q33" s="144"/>
      <c r="R33" s="144"/>
      <c r="S33" s="144"/>
      <c r="T33" s="144"/>
      <c r="U33" s="144"/>
      <c r="V33" s="144"/>
      <c r="W33" s="144"/>
      <c r="X33" s="144"/>
      <c r="Y33" s="144"/>
      <c r="Z33" s="144"/>
      <c r="AA33" s="144"/>
      <c r="AB33" s="144"/>
      <c r="AC33" s="144"/>
      <c r="AD33" s="144"/>
      <c r="AE33" s="144"/>
      <c r="AF33" s="144"/>
      <c r="AG33" s="144"/>
      <c r="AH33" s="144"/>
      <c r="AI33" s="144"/>
      <c r="AJ33" s="144"/>
      <c r="AK33" s="144"/>
      <c r="AL33" s="144"/>
      <c r="AM33" s="144"/>
      <c r="AN33" s="144"/>
      <c r="AO33" s="144"/>
      <c r="AP33" s="144"/>
      <c r="AQ33" s="144"/>
      <c r="AR33" s="144"/>
      <c r="AS33" s="144"/>
      <c r="AT33" s="144"/>
      <c r="AU33" s="144"/>
      <c r="AV33" s="144"/>
      <c r="AW33" s="144"/>
      <c r="AX33" s="144"/>
      <c r="AY33" s="144"/>
      <c r="AZ33" s="144"/>
      <c r="BA33" s="144"/>
      <c r="BB33" s="144"/>
      <c r="BC33" s="144"/>
      <c r="BD33" s="144"/>
      <c r="BE33" s="144"/>
      <c r="BF33" s="144"/>
      <c r="BG33" s="144"/>
      <c r="BH33" s="144"/>
      <c r="BI33" s="144"/>
      <c r="BJ33" s="144"/>
      <c r="BK33" s="144"/>
      <c r="BL33" s="144"/>
      <c r="BM33" s="144"/>
      <c r="BN33" s="144"/>
      <c r="BO33" s="144"/>
      <c r="BP33" s="145"/>
    </row>
    <row r="34" spans="2:68" ht="26" outlineLevel="2" x14ac:dyDescent="0.2">
      <c r="B34" s="341" t="s">
        <v>224</v>
      </c>
      <c r="C34" s="18" t="s">
        <v>488</v>
      </c>
      <c r="D34" s="171">
        <v>6.2</v>
      </c>
      <c r="E34" s="109" t="s">
        <v>431</v>
      </c>
      <c r="F34" s="105"/>
      <c r="G34" s="13">
        <v>46289</v>
      </c>
      <c r="H34" s="14">
        <v>46311</v>
      </c>
      <c r="I34" s="147"/>
      <c r="J34" s="144"/>
      <c r="K34" s="144"/>
      <c r="L34" s="144"/>
      <c r="M34" s="144"/>
      <c r="N34" s="144"/>
      <c r="O34" s="144"/>
      <c r="P34" s="168"/>
      <c r="Q34" s="168"/>
      <c r="R34" s="168"/>
      <c r="S34" s="144"/>
      <c r="T34" s="144"/>
      <c r="U34" s="144"/>
      <c r="V34" s="144"/>
      <c r="W34" s="144"/>
      <c r="X34" s="144"/>
      <c r="Y34" s="144"/>
      <c r="Z34" s="144"/>
      <c r="AA34" s="144"/>
      <c r="AB34" s="144"/>
      <c r="AC34" s="144"/>
      <c r="AD34" s="144"/>
      <c r="AE34" s="144"/>
      <c r="AF34" s="144"/>
      <c r="AG34" s="144"/>
      <c r="AH34" s="144"/>
      <c r="AI34" s="144"/>
      <c r="AJ34" s="144"/>
      <c r="AK34" s="144"/>
      <c r="AL34" s="144"/>
      <c r="AM34" s="144"/>
      <c r="AN34" s="144"/>
      <c r="AO34" s="144"/>
      <c r="AP34" s="144"/>
      <c r="AQ34" s="144"/>
      <c r="AR34" s="144"/>
      <c r="AS34" s="144"/>
      <c r="AT34" s="144"/>
      <c r="AU34" s="144"/>
      <c r="AV34" s="144"/>
      <c r="AW34" s="144"/>
      <c r="AX34" s="144"/>
      <c r="AY34" s="144"/>
      <c r="AZ34" s="144"/>
      <c r="BA34" s="144"/>
      <c r="BB34" s="144"/>
      <c r="BC34" s="144"/>
      <c r="BD34" s="144"/>
      <c r="BE34" s="144"/>
      <c r="BF34" s="144"/>
      <c r="BG34" s="144"/>
      <c r="BH34" s="144"/>
      <c r="BI34" s="144"/>
      <c r="BJ34" s="144"/>
      <c r="BK34" s="144"/>
      <c r="BL34" s="144"/>
      <c r="BM34" s="144"/>
      <c r="BN34" s="144"/>
      <c r="BO34" s="144"/>
      <c r="BP34" s="145"/>
    </row>
    <row r="35" spans="2:68" ht="26" outlineLevel="2" x14ac:dyDescent="0.2">
      <c r="B35" s="341" t="s">
        <v>225</v>
      </c>
      <c r="C35" s="18" t="s">
        <v>488</v>
      </c>
      <c r="D35" s="171">
        <v>6.2</v>
      </c>
      <c r="E35" s="109" t="s">
        <v>432</v>
      </c>
      <c r="F35" s="105"/>
      <c r="G35" s="13">
        <v>46289</v>
      </c>
      <c r="H35" s="14">
        <v>46311</v>
      </c>
      <c r="I35" s="147"/>
      <c r="J35" s="144"/>
      <c r="K35" s="144"/>
      <c r="L35" s="144"/>
      <c r="M35" s="144"/>
      <c r="N35" s="144"/>
      <c r="O35" s="144"/>
      <c r="P35" s="168"/>
      <c r="Q35" s="168"/>
      <c r="R35" s="168"/>
      <c r="S35" s="144"/>
      <c r="T35" s="144"/>
      <c r="U35" s="144"/>
      <c r="V35" s="144"/>
      <c r="W35" s="144"/>
      <c r="X35" s="144"/>
      <c r="Y35" s="144"/>
      <c r="Z35" s="144"/>
      <c r="AA35" s="144"/>
      <c r="AB35" s="144"/>
      <c r="AC35" s="144"/>
      <c r="AD35" s="144"/>
      <c r="AE35" s="144"/>
      <c r="AF35" s="144"/>
      <c r="AG35" s="144"/>
      <c r="AH35" s="144"/>
      <c r="AI35" s="144"/>
      <c r="AJ35" s="144"/>
      <c r="AK35" s="144"/>
      <c r="AL35" s="144"/>
      <c r="AM35" s="144"/>
      <c r="AN35" s="144"/>
      <c r="AO35" s="144"/>
      <c r="AP35" s="144"/>
      <c r="AQ35" s="144"/>
      <c r="AR35" s="144"/>
      <c r="AS35" s="144"/>
      <c r="AT35" s="144"/>
      <c r="AU35" s="144"/>
      <c r="AV35" s="144"/>
      <c r="AW35" s="144"/>
      <c r="AX35" s="144"/>
      <c r="AY35" s="144"/>
      <c r="AZ35" s="144"/>
      <c r="BA35" s="144"/>
      <c r="BB35" s="144"/>
      <c r="BC35" s="144"/>
      <c r="BD35" s="144"/>
      <c r="BE35" s="144"/>
      <c r="BF35" s="144"/>
      <c r="BG35" s="144"/>
      <c r="BH35" s="144"/>
      <c r="BI35" s="144"/>
      <c r="BJ35" s="144"/>
      <c r="BK35" s="144"/>
      <c r="BL35" s="144"/>
      <c r="BM35" s="144"/>
      <c r="BN35" s="144"/>
      <c r="BO35" s="144"/>
      <c r="BP35" s="145"/>
    </row>
    <row r="36" spans="2:68" ht="26" outlineLevel="2" x14ac:dyDescent="0.2">
      <c r="B36" s="342" t="s">
        <v>226</v>
      </c>
      <c r="C36" s="18" t="s">
        <v>488</v>
      </c>
      <c r="D36" s="171">
        <v>6.4</v>
      </c>
      <c r="E36" s="109" t="s">
        <v>433</v>
      </c>
      <c r="F36" s="105"/>
      <c r="G36" s="13">
        <v>46289</v>
      </c>
      <c r="H36" s="14">
        <v>46311</v>
      </c>
      <c r="I36" s="147"/>
      <c r="J36" s="144"/>
      <c r="K36" s="144"/>
      <c r="L36" s="144"/>
      <c r="M36" s="144"/>
      <c r="N36" s="144"/>
      <c r="O36" s="144"/>
      <c r="P36" s="168"/>
      <c r="Q36" s="168"/>
      <c r="R36" s="168"/>
      <c r="S36" s="144"/>
      <c r="T36" s="144"/>
      <c r="U36" s="144"/>
      <c r="V36" s="144"/>
      <c r="W36" s="144"/>
      <c r="X36" s="144"/>
      <c r="Y36" s="144"/>
      <c r="Z36" s="144"/>
      <c r="AA36" s="144"/>
      <c r="AB36" s="144"/>
      <c r="AC36" s="144"/>
      <c r="AD36" s="144"/>
      <c r="AE36" s="144"/>
      <c r="AF36" s="144"/>
      <c r="AG36" s="144"/>
      <c r="AH36" s="144"/>
      <c r="AI36" s="144"/>
      <c r="AJ36" s="144"/>
      <c r="AK36" s="144"/>
      <c r="AL36" s="144"/>
      <c r="AM36" s="144"/>
      <c r="AN36" s="144"/>
      <c r="AO36" s="144"/>
      <c r="AP36" s="144"/>
      <c r="AQ36" s="144"/>
      <c r="AR36" s="144"/>
      <c r="AS36" s="144"/>
      <c r="AT36" s="144"/>
      <c r="AU36" s="144"/>
      <c r="AV36" s="144"/>
      <c r="AW36" s="144"/>
      <c r="AX36" s="144"/>
      <c r="AY36" s="144"/>
      <c r="AZ36" s="144"/>
      <c r="BA36" s="144"/>
      <c r="BB36" s="144"/>
      <c r="BC36" s="144"/>
      <c r="BD36" s="144"/>
      <c r="BE36" s="144"/>
      <c r="BF36" s="144"/>
      <c r="BG36" s="144"/>
      <c r="BH36" s="144"/>
      <c r="BI36" s="144"/>
      <c r="BJ36" s="144"/>
      <c r="BK36" s="144"/>
      <c r="BL36" s="144"/>
      <c r="BM36" s="144"/>
      <c r="BN36" s="144"/>
      <c r="BO36" s="144"/>
      <c r="BP36" s="145"/>
    </row>
    <row r="37" spans="2:68" outlineLevel="2" x14ac:dyDescent="0.2">
      <c r="B37" s="343" t="s">
        <v>244</v>
      </c>
      <c r="C37" s="18" t="s">
        <v>488</v>
      </c>
      <c r="D37" s="171" t="s">
        <v>436</v>
      </c>
      <c r="E37" s="109" t="s">
        <v>434</v>
      </c>
      <c r="F37" s="105"/>
      <c r="G37" s="13">
        <v>46296</v>
      </c>
      <c r="H37" s="14">
        <v>46326</v>
      </c>
      <c r="I37" s="147"/>
      <c r="J37" s="144"/>
      <c r="K37" s="144"/>
      <c r="L37" s="144"/>
      <c r="M37" s="144"/>
      <c r="N37" s="144"/>
      <c r="O37" s="144"/>
      <c r="P37" s="144"/>
      <c r="Q37" s="168"/>
      <c r="R37" s="168"/>
      <c r="S37" s="168"/>
      <c r="T37" s="168"/>
      <c r="U37" s="144"/>
      <c r="V37" s="144"/>
      <c r="W37" s="144"/>
      <c r="X37" s="144"/>
      <c r="Y37" s="144"/>
      <c r="Z37" s="144"/>
      <c r="AA37" s="144"/>
      <c r="AB37" s="144"/>
      <c r="AC37" s="144"/>
      <c r="AD37" s="144"/>
      <c r="AE37" s="144"/>
      <c r="AF37" s="144"/>
      <c r="AG37" s="144"/>
      <c r="AH37" s="144"/>
      <c r="AI37" s="144"/>
      <c r="AJ37" s="144"/>
      <c r="AK37" s="144"/>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5"/>
    </row>
    <row r="38" spans="2:68" outlineLevel="1" x14ac:dyDescent="0.2">
      <c r="B38" s="344" t="s">
        <v>484</v>
      </c>
      <c r="C38" s="19" t="s">
        <v>22</v>
      </c>
      <c r="D38" s="171"/>
      <c r="E38" s="109"/>
      <c r="F38" s="105"/>
      <c r="G38" s="94">
        <v>46289</v>
      </c>
      <c r="H38" s="93">
        <v>46356</v>
      </c>
      <c r="I38" s="147"/>
      <c r="J38" s="144"/>
      <c r="K38" s="144"/>
      <c r="L38" s="144"/>
      <c r="M38" s="144"/>
      <c r="N38" s="144"/>
      <c r="O38" s="144"/>
      <c r="P38" s="144"/>
      <c r="Q38" s="144"/>
      <c r="R38" s="144"/>
      <c r="S38" s="122"/>
      <c r="T38" s="122"/>
      <c r="U38" s="122"/>
      <c r="V38" s="122"/>
      <c r="W38" s="122"/>
      <c r="X38" s="122"/>
      <c r="Y38" s="144"/>
      <c r="Z38" s="144"/>
      <c r="AA38" s="144"/>
      <c r="AB38" s="144"/>
      <c r="AC38" s="144"/>
      <c r="AD38" s="144"/>
      <c r="AE38" s="144"/>
      <c r="AF38" s="144"/>
      <c r="AG38" s="144"/>
      <c r="AH38" s="144"/>
      <c r="AI38" s="144"/>
      <c r="AJ38" s="144"/>
      <c r="AK38" s="144"/>
      <c r="AL38" s="144"/>
      <c r="AM38" s="144"/>
      <c r="AN38" s="144"/>
      <c r="AO38" s="144"/>
      <c r="AP38" s="144"/>
      <c r="AQ38" s="144"/>
      <c r="AR38" s="144"/>
      <c r="AS38" s="144"/>
      <c r="AT38" s="144"/>
      <c r="AU38" s="144"/>
      <c r="AV38" s="144"/>
      <c r="AW38" s="144"/>
      <c r="AX38" s="144"/>
      <c r="AY38" s="144"/>
      <c r="AZ38" s="144"/>
      <c r="BA38" s="144"/>
      <c r="BB38" s="144"/>
      <c r="BC38" s="144"/>
      <c r="BD38" s="144"/>
      <c r="BE38" s="144"/>
      <c r="BF38" s="144"/>
      <c r="BG38" s="144"/>
      <c r="BH38" s="144"/>
      <c r="BI38" s="144"/>
      <c r="BJ38" s="144"/>
      <c r="BK38" s="144"/>
      <c r="BL38" s="144"/>
      <c r="BM38" s="144"/>
      <c r="BN38" s="144"/>
      <c r="BO38" s="144"/>
      <c r="BP38" s="145"/>
    </row>
    <row r="39" spans="2:68" x14ac:dyDescent="0.2">
      <c r="B39" s="345"/>
      <c r="C39" s="173"/>
      <c r="D39" s="173"/>
      <c r="E39" s="174"/>
      <c r="F39" s="173"/>
      <c r="G39" s="11"/>
      <c r="H39" s="11"/>
      <c r="I39" s="173"/>
      <c r="J39" s="173"/>
      <c r="K39" s="173"/>
      <c r="L39" s="173"/>
      <c r="M39" s="173"/>
      <c r="N39" s="173"/>
      <c r="O39" s="173"/>
      <c r="P39" s="173"/>
      <c r="Q39" s="173"/>
      <c r="R39" s="173"/>
      <c r="S39" s="173"/>
      <c r="T39" s="173"/>
      <c r="U39" s="173"/>
      <c r="V39" s="173"/>
      <c r="W39" s="173"/>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c r="BB39" s="173"/>
      <c r="BC39" s="173"/>
      <c r="BD39" s="173"/>
      <c r="BE39" s="173"/>
      <c r="BF39" s="173"/>
      <c r="BG39" s="173"/>
      <c r="BH39" s="173"/>
      <c r="BI39" s="173"/>
      <c r="BJ39" s="173"/>
      <c r="BK39" s="173"/>
      <c r="BL39" s="173"/>
      <c r="BM39" s="173"/>
      <c r="BN39" s="173"/>
      <c r="BO39" s="173"/>
      <c r="BP39" s="175"/>
    </row>
    <row r="40" spans="2:68" x14ac:dyDescent="0.2">
      <c r="B40" s="346" t="s">
        <v>255</v>
      </c>
      <c r="C40" s="131"/>
      <c r="D40" s="132"/>
      <c r="E40" s="133"/>
      <c r="F40" s="134"/>
      <c r="G40" s="7"/>
      <c r="H40" s="8"/>
      <c r="I40" s="176"/>
      <c r="J40" s="139"/>
      <c r="K40" s="139"/>
      <c r="L40" s="177"/>
      <c r="M40" s="177"/>
      <c r="N40" s="177"/>
      <c r="O40" s="177"/>
      <c r="P40" s="177"/>
      <c r="Q40" s="177"/>
      <c r="R40" s="177"/>
      <c r="S40" s="177"/>
      <c r="T40" s="177"/>
      <c r="U40" s="177"/>
      <c r="V40" s="177"/>
      <c r="W40" s="177"/>
      <c r="X40" s="177"/>
      <c r="Y40" s="177"/>
      <c r="Z40" s="177"/>
      <c r="AA40" s="177"/>
      <c r="AB40" s="177"/>
      <c r="AC40" s="177"/>
      <c r="AD40" s="177"/>
      <c r="AE40" s="121"/>
      <c r="AF40" s="121"/>
      <c r="AG40" s="121"/>
      <c r="AH40" s="121"/>
      <c r="AI40" s="121"/>
      <c r="AJ40" s="121"/>
      <c r="AK40" s="121"/>
      <c r="AL40" s="121"/>
      <c r="AM40" s="121"/>
      <c r="AN40" s="121"/>
      <c r="AO40" s="121"/>
      <c r="AP40" s="121"/>
      <c r="AQ40" s="121"/>
      <c r="AR40" s="121"/>
      <c r="AS40" s="121"/>
      <c r="AT40" s="121"/>
      <c r="AU40" s="121"/>
      <c r="AV40" s="121"/>
      <c r="AW40" s="121"/>
      <c r="AX40" s="121"/>
      <c r="AY40" s="121"/>
      <c r="AZ40" s="121"/>
      <c r="BA40" s="121"/>
      <c r="BB40" s="121"/>
      <c r="BC40" s="121"/>
      <c r="BD40" s="121"/>
      <c r="BE40" s="121"/>
      <c r="BF40" s="121"/>
      <c r="BG40" s="121"/>
      <c r="BH40" s="121"/>
      <c r="BI40" s="121"/>
      <c r="BJ40" s="121"/>
      <c r="BK40" s="121"/>
      <c r="BL40" s="121"/>
      <c r="BM40" s="121"/>
      <c r="BN40" s="121"/>
      <c r="BO40" s="121"/>
      <c r="BP40" s="124"/>
    </row>
    <row r="41" spans="2:68" ht="26" outlineLevel="1" x14ac:dyDescent="0.2">
      <c r="B41" s="347" t="s">
        <v>396</v>
      </c>
      <c r="C41" s="18" t="s">
        <v>494</v>
      </c>
      <c r="D41" s="77" t="s">
        <v>64</v>
      </c>
      <c r="E41" s="112" t="s">
        <v>402</v>
      </c>
      <c r="F41" s="78"/>
      <c r="G41" s="16">
        <v>46261</v>
      </c>
      <c r="H41" s="17">
        <v>46304</v>
      </c>
      <c r="I41" s="134"/>
      <c r="J41" s="162"/>
      <c r="K41" s="162"/>
      <c r="L41" s="178"/>
      <c r="M41" s="178"/>
      <c r="N41" s="178"/>
      <c r="O41" s="178"/>
      <c r="P41" s="178"/>
      <c r="Q41" s="178"/>
      <c r="R41" s="121"/>
      <c r="S41" s="121"/>
      <c r="T41" s="121"/>
      <c r="U41" s="121"/>
      <c r="V41" s="121"/>
      <c r="W41" s="121"/>
      <c r="X41" s="121"/>
      <c r="Y41" s="121"/>
      <c r="Z41" s="121"/>
      <c r="AA41" s="121"/>
      <c r="AB41" s="121"/>
      <c r="AC41" s="121"/>
      <c r="AD41" s="121"/>
      <c r="AE41" s="121"/>
      <c r="AF41" s="121"/>
      <c r="AG41" s="121"/>
      <c r="AH41" s="121"/>
      <c r="AI41" s="121"/>
      <c r="AJ41" s="121"/>
      <c r="AK41" s="121"/>
      <c r="AL41" s="121"/>
      <c r="AM41" s="121"/>
      <c r="AN41" s="121"/>
      <c r="AO41" s="121"/>
      <c r="AP41" s="121"/>
      <c r="AQ41" s="121"/>
      <c r="AR41" s="121"/>
      <c r="AS41" s="121"/>
      <c r="AT41" s="121"/>
      <c r="AU41" s="121"/>
      <c r="AV41" s="121"/>
      <c r="AW41" s="121"/>
      <c r="AX41" s="121"/>
      <c r="AY41" s="121"/>
      <c r="AZ41" s="121"/>
      <c r="BA41" s="121"/>
      <c r="BB41" s="121"/>
      <c r="BC41" s="121"/>
      <c r="BD41" s="121"/>
      <c r="BE41" s="121"/>
      <c r="BF41" s="121"/>
      <c r="BG41" s="121"/>
      <c r="BH41" s="121"/>
      <c r="BI41" s="121"/>
      <c r="BJ41" s="121"/>
      <c r="BK41" s="121"/>
      <c r="BL41" s="121"/>
      <c r="BM41" s="121"/>
      <c r="BN41" s="121"/>
      <c r="BO41" s="121"/>
      <c r="BP41" s="124"/>
    </row>
    <row r="42" spans="2:68" outlineLevel="2" x14ac:dyDescent="0.2">
      <c r="B42" s="348" t="s">
        <v>379</v>
      </c>
      <c r="C42" s="18" t="s">
        <v>22</v>
      </c>
      <c r="D42" s="77"/>
      <c r="E42" s="112" t="s">
        <v>403</v>
      </c>
      <c r="F42" s="78"/>
      <c r="G42" s="1">
        <v>46261</v>
      </c>
      <c r="H42" s="2">
        <v>46275</v>
      </c>
      <c r="I42" s="134"/>
      <c r="J42" s="162"/>
      <c r="K42" s="162"/>
      <c r="L42" s="179"/>
      <c r="M42" s="179"/>
      <c r="N42" s="162"/>
      <c r="O42" s="162"/>
      <c r="P42" s="162"/>
      <c r="Q42" s="162"/>
      <c r="R42" s="162"/>
      <c r="S42" s="162"/>
      <c r="T42" s="162"/>
      <c r="U42" s="162"/>
      <c r="V42" s="162"/>
      <c r="W42" s="162"/>
      <c r="X42" s="162"/>
      <c r="Y42" s="162"/>
      <c r="Z42" s="162"/>
      <c r="AA42" s="162"/>
      <c r="AB42" s="121"/>
      <c r="AC42" s="121"/>
      <c r="AD42" s="121"/>
      <c r="AE42" s="121"/>
      <c r="AF42" s="121"/>
      <c r="AG42" s="121"/>
      <c r="AH42" s="121"/>
      <c r="AI42" s="121"/>
      <c r="AJ42" s="121"/>
      <c r="AK42" s="121"/>
      <c r="AL42" s="121"/>
      <c r="AM42" s="121"/>
      <c r="AN42" s="121"/>
      <c r="AO42" s="121"/>
      <c r="AP42" s="121"/>
      <c r="AQ42" s="121"/>
      <c r="AR42" s="121"/>
      <c r="AS42" s="121"/>
      <c r="AT42" s="121"/>
      <c r="AU42" s="121"/>
      <c r="AV42" s="121"/>
      <c r="AW42" s="121"/>
      <c r="AX42" s="121"/>
      <c r="AY42" s="121"/>
      <c r="AZ42" s="121"/>
      <c r="BA42" s="121"/>
      <c r="BB42" s="121"/>
      <c r="BC42" s="121"/>
      <c r="BD42" s="121"/>
      <c r="BE42" s="121"/>
      <c r="BF42" s="121"/>
      <c r="BG42" s="121"/>
      <c r="BH42" s="121"/>
      <c r="BI42" s="121"/>
      <c r="BJ42" s="121"/>
      <c r="BK42" s="121"/>
      <c r="BL42" s="121"/>
      <c r="BM42" s="121"/>
      <c r="BN42" s="121"/>
      <c r="BO42" s="121"/>
      <c r="BP42" s="124"/>
    </row>
    <row r="43" spans="2:68" outlineLevel="2" x14ac:dyDescent="0.2">
      <c r="B43" s="348" t="s">
        <v>380</v>
      </c>
      <c r="C43" s="18" t="s">
        <v>22</v>
      </c>
      <c r="D43" s="81">
        <v>8.1</v>
      </c>
      <c r="E43" s="112" t="s">
        <v>404</v>
      </c>
      <c r="F43" s="78"/>
      <c r="G43" s="25">
        <v>46279</v>
      </c>
      <c r="H43" s="76">
        <v>46295</v>
      </c>
      <c r="I43" s="134"/>
      <c r="J43" s="162"/>
      <c r="K43" s="162"/>
      <c r="L43" s="162"/>
      <c r="M43" s="162"/>
      <c r="N43" s="179"/>
      <c r="O43" s="179"/>
      <c r="P43" s="179"/>
      <c r="Q43" s="162"/>
      <c r="R43" s="162"/>
      <c r="S43" s="162"/>
      <c r="T43" s="162"/>
      <c r="U43" s="162"/>
      <c r="V43" s="162"/>
      <c r="W43" s="162"/>
      <c r="X43" s="162"/>
      <c r="Y43" s="162"/>
      <c r="Z43" s="162"/>
      <c r="AA43" s="162"/>
      <c r="AB43" s="121"/>
      <c r="AC43" s="121"/>
      <c r="AD43" s="121"/>
      <c r="AE43" s="121"/>
      <c r="AF43" s="121"/>
      <c r="AG43" s="121"/>
      <c r="AH43" s="121"/>
      <c r="AI43" s="121"/>
      <c r="AJ43" s="121"/>
      <c r="AK43" s="121"/>
      <c r="AL43" s="121"/>
      <c r="AM43" s="121"/>
      <c r="AN43" s="121"/>
      <c r="AO43" s="121"/>
      <c r="AP43" s="121"/>
      <c r="AQ43" s="121"/>
      <c r="AR43" s="121"/>
      <c r="AS43" s="121"/>
      <c r="AT43" s="121"/>
      <c r="AU43" s="121"/>
      <c r="AV43" s="121"/>
      <c r="AW43" s="121"/>
      <c r="AX43" s="121"/>
      <c r="AY43" s="121"/>
      <c r="AZ43" s="121"/>
      <c r="BA43" s="121"/>
      <c r="BB43" s="121"/>
      <c r="BC43" s="121"/>
      <c r="BD43" s="121"/>
      <c r="BE43" s="121"/>
      <c r="BF43" s="121"/>
      <c r="BG43" s="121"/>
      <c r="BH43" s="121"/>
      <c r="BI43" s="121"/>
      <c r="BJ43" s="121"/>
      <c r="BK43" s="121"/>
      <c r="BL43" s="121"/>
      <c r="BM43" s="121"/>
      <c r="BN43" s="121"/>
      <c r="BO43" s="121"/>
      <c r="BP43" s="124"/>
    </row>
    <row r="44" spans="2:68" outlineLevel="2" x14ac:dyDescent="0.2">
      <c r="B44" s="348" t="s">
        <v>381</v>
      </c>
      <c r="C44" s="18" t="s">
        <v>495</v>
      </c>
      <c r="D44" s="81">
        <v>8.1999999999999993</v>
      </c>
      <c r="E44" s="112" t="s">
        <v>405</v>
      </c>
      <c r="F44" s="78"/>
      <c r="G44" s="25">
        <v>46289</v>
      </c>
      <c r="H44" s="76">
        <v>46304</v>
      </c>
      <c r="I44" s="134"/>
      <c r="J44" s="162"/>
      <c r="K44" s="162"/>
      <c r="L44" s="162"/>
      <c r="M44" s="162"/>
      <c r="N44" s="162"/>
      <c r="O44" s="162"/>
      <c r="P44" s="179"/>
      <c r="Q44" s="179"/>
      <c r="R44" s="162"/>
      <c r="S44" s="162"/>
      <c r="T44" s="162"/>
      <c r="U44" s="162"/>
      <c r="V44" s="162"/>
      <c r="W44" s="162"/>
      <c r="X44" s="162"/>
      <c r="Y44" s="162"/>
      <c r="Z44" s="162"/>
      <c r="AA44" s="162"/>
      <c r="AB44" s="121"/>
      <c r="AC44" s="121"/>
      <c r="AD44" s="121"/>
      <c r="AE44" s="121"/>
      <c r="AF44" s="121"/>
      <c r="AG44" s="121"/>
      <c r="AH44" s="121"/>
      <c r="AI44" s="121"/>
      <c r="AJ44" s="121"/>
      <c r="AK44" s="121"/>
      <c r="AL44" s="121"/>
      <c r="AM44" s="121"/>
      <c r="AN44" s="121"/>
      <c r="AO44" s="121"/>
      <c r="AP44" s="121"/>
      <c r="AQ44" s="121"/>
      <c r="AR44" s="121"/>
      <c r="AS44" s="121"/>
      <c r="AT44" s="121"/>
      <c r="AU44" s="121"/>
      <c r="AV44" s="121"/>
      <c r="AW44" s="121"/>
      <c r="AX44" s="121"/>
      <c r="AY44" s="121"/>
      <c r="AZ44" s="121"/>
      <c r="BA44" s="121"/>
      <c r="BB44" s="121"/>
      <c r="BC44" s="121"/>
      <c r="BD44" s="121"/>
      <c r="BE44" s="121"/>
      <c r="BF44" s="121"/>
      <c r="BG44" s="121"/>
      <c r="BH44" s="121"/>
      <c r="BI44" s="121"/>
      <c r="BJ44" s="121"/>
      <c r="BK44" s="121"/>
      <c r="BL44" s="121"/>
      <c r="BM44" s="121"/>
      <c r="BN44" s="121"/>
      <c r="BO44" s="121"/>
      <c r="BP44" s="124"/>
    </row>
    <row r="45" spans="2:68" ht="26" outlineLevel="1" x14ac:dyDescent="0.2">
      <c r="B45" s="347" t="s">
        <v>382</v>
      </c>
      <c r="C45" s="18" t="s">
        <v>22</v>
      </c>
      <c r="D45" s="78" t="s">
        <v>437</v>
      </c>
      <c r="E45" s="112" t="s">
        <v>406</v>
      </c>
      <c r="F45" s="78"/>
      <c r="G45" s="95">
        <v>46268</v>
      </c>
      <c r="H45" s="96">
        <v>46275</v>
      </c>
      <c r="I45" s="134"/>
      <c r="J45" s="162"/>
      <c r="K45" s="162"/>
      <c r="L45" s="162"/>
      <c r="M45" s="178"/>
      <c r="N45" s="162"/>
      <c r="O45" s="162"/>
      <c r="P45" s="162"/>
      <c r="Q45" s="162"/>
      <c r="R45" s="162"/>
      <c r="S45" s="162"/>
      <c r="T45" s="162"/>
      <c r="U45" s="162"/>
      <c r="V45" s="162"/>
      <c r="W45" s="162"/>
      <c r="X45" s="162"/>
      <c r="Y45" s="162"/>
      <c r="Z45" s="162"/>
      <c r="AA45" s="162"/>
      <c r="AB45" s="121"/>
      <c r="AC45" s="121"/>
      <c r="AD45" s="121"/>
      <c r="AE45" s="121"/>
      <c r="AF45" s="121"/>
      <c r="AG45" s="121"/>
      <c r="AH45" s="121"/>
      <c r="AI45" s="121"/>
      <c r="AJ45" s="121"/>
      <c r="AK45" s="121"/>
      <c r="AL45" s="121"/>
      <c r="AM45" s="121"/>
      <c r="AN45" s="121"/>
      <c r="AO45" s="121"/>
      <c r="AP45" s="121"/>
      <c r="AQ45" s="121"/>
      <c r="AR45" s="121"/>
      <c r="AS45" s="121"/>
      <c r="AT45" s="121"/>
      <c r="AU45" s="121"/>
      <c r="AV45" s="121"/>
      <c r="AW45" s="121"/>
      <c r="AX45" s="121"/>
      <c r="AY45" s="121"/>
      <c r="AZ45" s="121"/>
      <c r="BA45" s="121"/>
      <c r="BB45" s="121"/>
      <c r="BC45" s="121"/>
      <c r="BD45" s="121"/>
      <c r="BE45" s="121"/>
      <c r="BF45" s="121"/>
      <c r="BG45" s="121"/>
      <c r="BH45" s="121"/>
      <c r="BI45" s="121"/>
      <c r="BJ45" s="121"/>
      <c r="BK45" s="121"/>
      <c r="BL45" s="121"/>
      <c r="BM45" s="121"/>
      <c r="BN45" s="121"/>
      <c r="BO45" s="121"/>
      <c r="BP45" s="124"/>
    </row>
    <row r="46" spans="2:68" ht="26" outlineLevel="1" x14ac:dyDescent="0.2">
      <c r="B46" s="347" t="s">
        <v>397</v>
      </c>
      <c r="C46" s="180" t="s">
        <v>463</v>
      </c>
      <c r="D46" s="78" t="s">
        <v>420</v>
      </c>
      <c r="E46" s="112" t="s">
        <v>407</v>
      </c>
      <c r="F46" s="78"/>
      <c r="G46" s="95">
        <v>46275</v>
      </c>
      <c r="H46" s="96">
        <v>46304</v>
      </c>
      <c r="I46" s="134"/>
      <c r="J46" s="162"/>
      <c r="K46" s="162"/>
      <c r="L46" s="162"/>
      <c r="M46" s="162"/>
      <c r="N46" s="178"/>
      <c r="O46" s="178"/>
      <c r="P46" s="178"/>
      <c r="Q46" s="178"/>
      <c r="R46" s="162"/>
      <c r="S46" s="162"/>
      <c r="T46" s="162"/>
      <c r="U46" s="162"/>
      <c r="V46" s="162"/>
      <c r="W46" s="162"/>
      <c r="X46" s="162"/>
      <c r="Y46" s="162"/>
      <c r="Z46" s="162"/>
      <c r="AA46" s="162"/>
      <c r="AB46" s="121"/>
      <c r="AC46" s="121"/>
      <c r="AD46" s="121"/>
      <c r="AE46" s="121"/>
      <c r="AF46" s="121"/>
      <c r="AG46" s="121"/>
      <c r="AH46" s="121"/>
      <c r="AI46" s="121"/>
      <c r="AJ46" s="121"/>
      <c r="AK46" s="121"/>
      <c r="AL46" s="121"/>
      <c r="AM46" s="121"/>
      <c r="AN46" s="121"/>
      <c r="AO46" s="121"/>
      <c r="AP46" s="121"/>
      <c r="AQ46" s="121"/>
      <c r="AR46" s="121"/>
      <c r="AS46" s="121"/>
      <c r="AT46" s="121"/>
      <c r="AU46" s="121"/>
      <c r="AV46" s="121"/>
      <c r="AW46" s="121"/>
      <c r="AX46" s="121"/>
      <c r="AY46" s="121"/>
      <c r="AZ46" s="121"/>
      <c r="BA46" s="121"/>
      <c r="BB46" s="121"/>
      <c r="BC46" s="121"/>
      <c r="BD46" s="121"/>
      <c r="BE46" s="121"/>
      <c r="BF46" s="121"/>
      <c r="BG46" s="121"/>
      <c r="BH46" s="121"/>
      <c r="BI46" s="121"/>
      <c r="BJ46" s="121"/>
      <c r="BK46" s="121"/>
      <c r="BL46" s="121"/>
      <c r="BM46" s="121"/>
      <c r="BN46" s="121"/>
      <c r="BO46" s="121"/>
      <c r="BP46" s="124"/>
    </row>
    <row r="47" spans="2:68" ht="26" outlineLevel="2" x14ac:dyDescent="0.2">
      <c r="B47" s="348" t="s">
        <v>383</v>
      </c>
      <c r="C47" s="180" t="s">
        <v>496</v>
      </c>
      <c r="D47" s="77"/>
      <c r="E47" s="112" t="s">
        <v>408</v>
      </c>
      <c r="F47" s="78"/>
      <c r="G47" s="25">
        <v>46275</v>
      </c>
      <c r="H47" s="76">
        <v>46288</v>
      </c>
      <c r="I47" s="134"/>
      <c r="J47" s="162"/>
      <c r="K47" s="162"/>
      <c r="L47" s="162"/>
      <c r="M47" s="162"/>
      <c r="N47" s="179"/>
      <c r="O47" s="179"/>
      <c r="P47" s="162"/>
      <c r="Q47" s="162"/>
      <c r="R47" s="162"/>
      <c r="S47" s="162"/>
      <c r="T47" s="162"/>
      <c r="U47" s="162"/>
      <c r="V47" s="162"/>
      <c r="W47" s="162"/>
      <c r="X47" s="162"/>
      <c r="Y47" s="162"/>
      <c r="Z47" s="162"/>
      <c r="AA47" s="162"/>
      <c r="AB47" s="121"/>
      <c r="AC47" s="121"/>
      <c r="AD47" s="121"/>
      <c r="AE47" s="121"/>
      <c r="AF47" s="121"/>
      <c r="AG47" s="121"/>
      <c r="AH47" s="121"/>
      <c r="AI47" s="121"/>
      <c r="AJ47" s="121"/>
      <c r="AK47" s="121"/>
      <c r="AL47" s="121"/>
      <c r="AM47" s="121"/>
      <c r="AN47" s="121"/>
      <c r="AO47" s="121"/>
      <c r="AP47" s="121"/>
      <c r="AQ47" s="121"/>
      <c r="AR47" s="121"/>
      <c r="AS47" s="121"/>
      <c r="AT47" s="121"/>
      <c r="AU47" s="121"/>
      <c r="AV47" s="121"/>
      <c r="AW47" s="121"/>
      <c r="AX47" s="121"/>
      <c r="AY47" s="121"/>
      <c r="AZ47" s="121"/>
      <c r="BA47" s="121"/>
      <c r="BB47" s="121"/>
      <c r="BC47" s="121"/>
      <c r="BD47" s="121"/>
      <c r="BE47" s="121"/>
      <c r="BF47" s="121"/>
      <c r="BG47" s="121"/>
      <c r="BH47" s="121"/>
      <c r="BI47" s="121"/>
      <c r="BJ47" s="121"/>
      <c r="BK47" s="121"/>
      <c r="BL47" s="121"/>
      <c r="BM47" s="121"/>
      <c r="BN47" s="121"/>
      <c r="BO47" s="121"/>
      <c r="BP47" s="124"/>
    </row>
    <row r="48" spans="2:68" ht="26" outlineLevel="2" x14ac:dyDescent="0.2">
      <c r="B48" s="348" t="s">
        <v>384</v>
      </c>
      <c r="C48" s="180" t="s">
        <v>496</v>
      </c>
      <c r="D48" s="79">
        <v>10.1</v>
      </c>
      <c r="E48" s="112" t="s">
        <v>409</v>
      </c>
      <c r="F48" s="78"/>
      <c r="G48" s="25">
        <v>46286</v>
      </c>
      <c r="H48" s="76">
        <v>46295</v>
      </c>
      <c r="I48" s="134"/>
      <c r="J48" s="162"/>
      <c r="K48" s="162"/>
      <c r="L48" s="162"/>
      <c r="M48" s="162"/>
      <c r="N48" s="162"/>
      <c r="O48" s="179"/>
      <c r="P48" s="179"/>
      <c r="Q48" s="162"/>
      <c r="R48" s="162"/>
      <c r="S48" s="162"/>
      <c r="T48" s="162"/>
      <c r="U48" s="162"/>
      <c r="V48" s="162"/>
      <c r="W48" s="162"/>
      <c r="X48" s="162"/>
      <c r="Y48" s="162"/>
      <c r="Z48" s="162"/>
      <c r="AA48" s="162"/>
      <c r="AB48" s="121"/>
      <c r="AC48" s="121"/>
      <c r="AD48" s="121"/>
      <c r="AE48" s="121"/>
      <c r="AF48" s="121"/>
      <c r="AG48" s="121"/>
      <c r="AH48" s="121"/>
      <c r="AI48" s="121"/>
      <c r="AJ48" s="121"/>
      <c r="AK48" s="121"/>
      <c r="AL48" s="121"/>
      <c r="AM48" s="121"/>
      <c r="AN48" s="121"/>
      <c r="AO48" s="121"/>
      <c r="AP48" s="121"/>
      <c r="AQ48" s="121"/>
      <c r="AR48" s="121"/>
      <c r="AS48" s="121"/>
      <c r="AT48" s="121"/>
      <c r="AU48" s="121"/>
      <c r="AV48" s="121"/>
      <c r="AW48" s="121"/>
      <c r="AX48" s="121"/>
      <c r="AY48" s="121"/>
      <c r="AZ48" s="121"/>
      <c r="BA48" s="121"/>
      <c r="BB48" s="121"/>
      <c r="BC48" s="121"/>
      <c r="BD48" s="121"/>
      <c r="BE48" s="121"/>
      <c r="BF48" s="121"/>
      <c r="BG48" s="121"/>
      <c r="BH48" s="121"/>
      <c r="BI48" s="121"/>
      <c r="BJ48" s="121"/>
      <c r="BK48" s="121"/>
      <c r="BL48" s="121"/>
      <c r="BM48" s="121"/>
      <c r="BN48" s="121"/>
      <c r="BO48" s="121"/>
      <c r="BP48" s="124"/>
    </row>
    <row r="49" spans="2:68" outlineLevel="2" x14ac:dyDescent="0.2">
      <c r="B49" s="348" t="s">
        <v>385</v>
      </c>
      <c r="C49" s="180" t="s">
        <v>496</v>
      </c>
      <c r="D49" s="79">
        <v>10.199999999999999</v>
      </c>
      <c r="E49" s="112" t="s">
        <v>410</v>
      </c>
      <c r="F49" s="78"/>
      <c r="G49" s="25">
        <v>46286</v>
      </c>
      <c r="H49" s="76">
        <v>46304</v>
      </c>
      <c r="I49" s="134"/>
      <c r="J49" s="162"/>
      <c r="K49" s="162"/>
      <c r="L49" s="162"/>
      <c r="M49" s="162"/>
      <c r="N49" s="162"/>
      <c r="O49" s="179"/>
      <c r="P49" s="179"/>
      <c r="Q49" s="179"/>
      <c r="R49" s="162"/>
      <c r="S49" s="162"/>
      <c r="T49" s="162"/>
      <c r="U49" s="162"/>
      <c r="V49" s="162"/>
      <c r="W49" s="162"/>
      <c r="X49" s="162"/>
      <c r="Y49" s="162"/>
      <c r="Z49" s="162"/>
      <c r="AA49" s="162"/>
      <c r="AB49" s="121"/>
      <c r="AC49" s="121"/>
      <c r="AD49" s="121"/>
      <c r="AE49" s="121"/>
      <c r="AF49" s="121"/>
      <c r="AG49" s="121"/>
      <c r="AH49" s="121"/>
      <c r="AI49" s="121"/>
      <c r="AJ49" s="121"/>
      <c r="AK49" s="121"/>
      <c r="AL49" s="121"/>
      <c r="AM49" s="121"/>
      <c r="AN49" s="121"/>
      <c r="AO49" s="121"/>
      <c r="AP49" s="121"/>
      <c r="AQ49" s="121"/>
      <c r="AR49" s="121"/>
      <c r="AS49" s="121"/>
      <c r="AT49" s="121"/>
      <c r="AU49" s="121"/>
      <c r="AV49" s="121"/>
      <c r="AW49" s="121"/>
      <c r="AX49" s="121"/>
      <c r="AY49" s="121"/>
      <c r="AZ49" s="121"/>
      <c r="BA49" s="121"/>
      <c r="BB49" s="121"/>
      <c r="BC49" s="121"/>
      <c r="BD49" s="121"/>
      <c r="BE49" s="121"/>
      <c r="BF49" s="121"/>
      <c r="BG49" s="121"/>
      <c r="BH49" s="121"/>
      <c r="BI49" s="121"/>
      <c r="BJ49" s="121"/>
      <c r="BK49" s="121"/>
      <c r="BL49" s="121"/>
      <c r="BM49" s="121"/>
      <c r="BN49" s="121"/>
      <c r="BO49" s="121"/>
      <c r="BP49" s="124"/>
    </row>
    <row r="50" spans="2:68" outlineLevel="2" x14ac:dyDescent="0.2">
      <c r="B50" s="348" t="s">
        <v>386</v>
      </c>
      <c r="C50" s="180" t="s">
        <v>253</v>
      </c>
      <c r="D50" s="79" t="s">
        <v>421</v>
      </c>
      <c r="E50" s="112" t="s">
        <v>411</v>
      </c>
      <c r="F50" s="78"/>
      <c r="G50" s="25">
        <v>46296</v>
      </c>
      <c r="H50" s="76">
        <v>46304</v>
      </c>
      <c r="I50" s="134"/>
      <c r="J50" s="162"/>
      <c r="K50" s="162"/>
      <c r="L50" s="162"/>
      <c r="M50" s="162"/>
      <c r="N50" s="162"/>
      <c r="O50" s="162"/>
      <c r="P50" s="162"/>
      <c r="Q50" s="179"/>
      <c r="R50" s="162"/>
      <c r="S50" s="162"/>
      <c r="T50" s="162"/>
      <c r="U50" s="162"/>
      <c r="V50" s="162"/>
      <c r="W50" s="162"/>
      <c r="X50" s="162"/>
      <c r="Y50" s="162"/>
      <c r="Z50" s="162"/>
      <c r="AA50" s="162"/>
      <c r="AB50" s="121"/>
      <c r="AC50" s="121"/>
      <c r="AD50" s="121"/>
      <c r="AE50" s="121"/>
      <c r="AF50" s="121"/>
      <c r="AG50" s="121"/>
      <c r="AH50" s="121"/>
      <c r="AI50" s="121"/>
      <c r="AJ50" s="121"/>
      <c r="AK50" s="121"/>
      <c r="AL50" s="121"/>
      <c r="AM50" s="121"/>
      <c r="AN50" s="121"/>
      <c r="AO50" s="121"/>
      <c r="AP50" s="121"/>
      <c r="AQ50" s="121"/>
      <c r="AR50" s="121"/>
      <c r="AS50" s="121"/>
      <c r="AT50" s="121"/>
      <c r="AU50" s="121"/>
      <c r="AV50" s="121"/>
      <c r="AW50" s="121"/>
      <c r="AX50" s="121"/>
      <c r="AY50" s="121"/>
      <c r="AZ50" s="121"/>
      <c r="BA50" s="121"/>
      <c r="BB50" s="121"/>
      <c r="BC50" s="121"/>
      <c r="BD50" s="121"/>
      <c r="BE50" s="121"/>
      <c r="BF50" s="121"/>
      <c r="BG50" s="121"/>
      <c r="BH50" s="121"/>
      <c r="BI50" s="121"/>
      <c r="BJ50" s="121"/>
      <c r="BK50" s="121"/>
      <c r="BL50" s="121"/>
      <c r="BM50" s="121"/>
      <c r="BN50" s="121"/>
      <c r="BO50" s="121"/>
      <c r="BP50" s="124"/>
    </row>
    <row r="51" spans="2:68" ht="52" outlineLevel="1" x14ac:dyDescent="0.2">
      <c r="B51" s="347" t="s">
        <v>398</v>
      </c>
      <c r="C51" s="180" t="s">
        <v>497</v>
      </c>
      <c r="D51" s="79" t="s">
        <v>64</v>
      </c>
      <c r="E51" s="112" t="s">
        <v>412</v>
      </c>
      <c r="F51" s="204" t="s">
        <v>507</v>
      </c>
      <c r="G51" s="95">
        <v>46275</v>
      </c>
      <c r="H51" s="96">
        <v>46332</v>
      </c>
      <c r="I51" s="134"/>
      <c r="J51" s="162"/>
      <c r="K51" s="162"/>
      <c r="L51" s="162"/>
      <c r="M51" s="162"/>
      <c r="N51" s="178"/>
      <c r="O51" s="178"/>
      <c r="P51" s="178"/>
      <c r="Q51" s="178"/>
      <c r="R51" s="178"/>
      <c r="S51" s="178"/>
      <c r="T51" s="178"/>
      <c r="U51" s="178"/>
      <c r="V51" s="162"/>
      <c r="W51" s="162"/>
      <c r="X51" s="162"/>
      <c r="Y51" s="162"/>
      <c r="Z51" s="162"/>
      <c r="AA51" s="162"/>
      <c r="AB51" s="121"/>
      <c r="AC51" s="121"/>
      <c r="AD51" s="121"/>
      <c r="AE51" s="121"/>
      <c r="AF51" s="121"/>
      <c r="AG51" s="121"/>
      <c r="AH51" s="121"/>
      <c r="AI51" s="121"/>
      <c r="AJ51" s="121"/>
      <c r="AK51" s="121"/>
      <c r="AL51" s="121"/>
      <c r="AM51" s="121"/>
      <c r="AN51" s="121"/>
      <c r="AO51" s="121"/>
      <c r="AP51" s="121"/>
      <c r="AQ51" s="121"/>
      <c r="AR51" s="121"/>
      <c r="AS51" s="121"/>
      <c r="AT51" s="121"/>
      <c r="AU51" s="121"/>
      <c r="AV51" s="121"/>
      <c r="AW51" s="121"/>
      <c r="AX51" s="121"/>
      <c r="AY51" s="121"/>
      <c r="AZ51" s="121"/>
      <c r="BA51" s="121"/>
      <c r="BB51" s="121"/>
      <c r="BC51" s="121"/>
      <c r="BD51" s="121"/>
      <c r="BE51" s="121"/>
      <c r="BF51" s="121"/>
      <c r="BG51" s="121"/>
      <c r="BH51" s="121"/>
      <c r="BI51" s="121"/>
      <c r="BJ51" s="121"/>
      <c r="BK51" s="121"/>
      <c r="BL51" s="121"/>
      <c r="BM51" s="121"/>
      <c r="BN51" s="121"/>
      <c r="BO51" s="121"/>
      <c r="BP51" s="124"/>
    </row>
    <row r="52" spans="2:68" ht="26" outlineLevel="2" x14ac:dyDescent="0.2">
      <c r="B52" s="348" t="s">
        <v>387</v>
      </c>
      <c r="C52" s="180" t="s">
        <v>464</v>
      </c>
      <c r="D52" s="79"/>
      <c r="E52" s="112" t="s">
        <v>413</v>
      </c>
      <c r="F52" s="78"/>
      <c r="G52" s="25">
        <v>46275</v>
      </c>
      <c r="H52" s="76">
        <v>46311</v>
      </c>
      <c r="I52" s="134"/>
      <c r="J52" s="162"/>
      <c r="K52" s="162"/>
      <c r="L52" s="162"/>
      <c r="M52" s="162"/>
      <c r="N52" s="179"/>
      <c r="O52" s="179"/>
      <c r="P52" s="179"/>
      <c r="Q52" s="179"/>
      <c r="R52" s="179"/>
      <c r="S52" s="162"/>
      <c r="T52" s="162"/>
      <c r="U52" s="162"/>
      <c r="V52" s="162"/>
      <c r="W52" s="162"/>
      <c r="X52" s="162"/>
      <c r="Y52" s="162"/>
      <c r="Z52" s="162"/>
      <c r="AA52" s="162"/>
      <c r="AB52" s="121"/>
      <c r="AC52" s="121"/>
      <c r="AD52" s="121"/>
      <c r="AE52" s="121"/>
      <c r="AF52" s="121"/>
      <c r="AG52" s="121"/>
      <c r="AH52" s="121"/>
      <c r="AI52" s="121"/>
      <c r="AJ52" s="121"/>
      <c r="AK52" s="121"/>
      <c r="AL52" s="121"/>
      <c r="AM52" s="121"/>
      <c r="AN52" s="121"/>
      <c r="AO52" s="121"/>
      <c r="AP52" s="121"/>
      <c r="AQ52" s="121"/>
      <c r="AR52" s="121"/>
      <c r="AS52" s="121"/>
      <c r="AT52" s="121"/>
      <c r="AU52" s="121"/>
      <c r="AV52" s="121"/>
      <c r="AW52" s="121"/>
      <c r="AX52" s="121"/>
      <c r="AY52" s="121"/>
      <c r="AZ52" s="121"/>
      <c r="BA52" s="121"/>
      <c r="BB52" s="121"/>
      <c r="BC52" s="121"/>
      <c r="BD52" s="121"/>
      <c r="BE52" s="121"/>
      <c r="BF52" s="121"/>
      <c r="BG52" s="121"/>
      <c r="BH52" s="121"/>
      <c r="BI52" s="121"/>
      <c r="BJ52" s="121"/>
      <c r="BK52" s="121"/>
      <c r="BL52" s="121"/>
      <c r="BM52" s="121"/>
      <c r="BN52" s="121"/>
      <c r="BO52" s="121"/>
      <c r="BP52" s="124"/>
    </row>
    <row r="53" spans="2:68" outlineLevel="2" x14ac:dyDescent="0.2">
      <c r="B53" s="348" t="s">
        <v>388</v>
      </c>
      <c r="C53" s="180" t="s">
        <v>464</v>
      </c>
      <c r="D53" s="79">
        <v>11.1</v>
      </c>
      <c r="E53" s="112" t="s">
        <v>76</v>
      </c>
      <c r="F53" s="78"/>
      <c r="G53" s="25">
        <v>46307</v>
      </c>
      <c r="H53" s="76">
        <v>46326</v>
      </c>
      <c r="I53" s="134"/>
      <c r="J53" s="162"/>
      <c r="K53" s="162"/>
      <c r="L53" s="162"/>
      <c r="M53" s="162"/>
      <c r="N53" s="162"/>
      <c r="O53" s="162"/>
      <c r="P53" s="162"/>
      <c r="Q53" s="162"/>
      <c r="R53" s="179"/>
      <c r="S53" s="179"/>
      <c r="T53" s="179"/>
      <c r="U53" s="162"/>
      <c r="V53" s="162"/>
      <c r="W53" s="162"/>
      <c r="X53" s="162"/>
      <c r="Y53" s="162"/>
      <c r="Z53" s="162"/>
      <c r="AA53" s="162"/>
      <c r="AB53" s="121"/>
      <c r="AC53" s="121"/>
      <c r="AD53" s="121"/>
      <c r="AE53" s="121"/>
      <c r="AF53" s="121"/>
      <c r="AG53" s="121"/>
      <c r="AH53" s="121"/>
      <c r="AI53" s="121"/>
      <c r="AJ53" s="121"/>
      <c r="AK53" s="121"/>
      <c r="AL53" s="121"/>
      <c r="AM53" s="121"/>
      <c r="AN53" s="121"/>
      <c r="AO53" s="121"/>
      <c r="AP53" s="121"/>
      <c r="AQ53" s="121"/>
      <c r="AR53" s="121"/>
      <c r="AS53" s="121"/>
      <c r="AT53" s="121"/>
      <c r="AU53" s="121"/>
      <c r="AV53" s="121"/>
      <c r="AW53" s="121"/>
      <c r="AX53" s="121"/>
      <c r="AY53" s="121"/>
      <c r="AZ53" s="121"/>
      <c r="BA53" s="121"/>
      <c r="BB53" s="121"/>
      <c r="BC53" s="121"/>
      <c r="BD53" s="121"/>
      <c r="BE53" s="121"/>
      <c r="BF53" s="121"/>
      <c r="BG53" s="121"/>
      <c r="BH53" s="121"/>
      <c r="BI53" s="121"/>
      <c r="BJ53" s="121"/>
      <c r="BK53" s="121"/>
      <c r="BL53" s="121"/>
      <c r="BM53" s="121"/>
      <c r="BN53" s="121"/>
      <c r="BO53" s="121"/>
      <c r="BP53" s="124"/>
    </row>
    <row r="54" spans="2:68" outlineLevel="2" x14ac:dyDescent="0.2">
      <c r="B54" s="348" t="s">
        <v>389</v>
      </c>
      <c r="C54" s="180" t="s">
        <v>464</v>
      </c>
      <c r="D54" s="79">
        <v>11.2</v>
      </c>
      <c r="E54" s="112" t="s">
        <v>414</v>
      </c>
      <c r="F54" s="78"/>
      <c r="G54" s="25">
        <v>46321</v>
      </c>
      <c r="H54" s="76">
        <v>46332</v>
      </c>
      <c r="I54" s="134"/>
      <c r="J54" s="162"/>
      <c r="K54" s="162"/>
      <c r="L54" s="162"/>
      <c r="M54" s="162"/>
      <c r="N54" s="162"/>
      <c r="O54" s="162"/>
      <c r="P54" s="162"/>
      <c r="Q54" s="162"/>
      <c r="R54" s="162"/>
      <c r="S54" s="162"/>
      <c r="T54" s="179"/>
      <c r="U54" s="179"/>
      <c r="V54" s="162"/>
      <c r="W54" s="162"/>
      <c r="X54" s="162"/>
      <c r="Y54" s="162"/>
      <c r="Z54" s="162"/>
      <c r="AA54" s="162"/>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1"/>
      <c r="BP54" s="124"/>
    </row>
    <row r="55" spans="2:68" outlineLevel="2" x14ac:dyDescent="0.2">
      <c r="B55" s="348" t="s">
        <v>390</v>
      </c>
      <c r="C55" s="180" t="s">
        <v>464</v>
      </c>
      <c r="D55" s="79">
        <v>11.3</v>
      </c>
      <c r="E55" s="112" t="s">
        <v>80</v>
      </c>
      <c r="F55" s="78"/>
      <c r="G55" s="25">
        <v>46326</v>
      </c>
      <c r="H55" s="76">
        <v>46332</v>
      </c>
      <c r="I55" s="134"/>
      <c r="J55" s="162"/>
      <c r="K55" s="162"/>
      <c r="L55" s="162"/>
      <c r="M55" s="162"/>
      <c r="N55" s="162"/>
      <c r="O55" s="162"/>
      <c r="P55" s="162"/>
      <c r="Q55" s="162"/>
      <c r="R55" s="162"/>
      <c r="S55" s="162"/>
      <c r="T55" s="162"/>
      <c r="U55" s="179"/>
      <c r="V55" s="162"/>
      <c r="W55" s="162"/>
      <c r="X55" s="162"/>
      <c r="Y55" s="162"/>
      <c r="Z55" s="162"/>
      <c r="AA55" s="162"/>
      <c r="AB55" s="121"/>
      <c r="AC55" s="121"/>
      <c r="AD55" s="121"/>
      <c r="AE55" s="121"/>
      <c r="AF55" s="121"/>
      <c r="AG55" s="121"/>
      <c r="AH55" s="121"/>
      <c r="AI55" s="121"/>
      <c r="AJ55" s="121"/>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4"/>
    </row>
    <row r="56" spans="2:68" outlineLevel="1" x14ac:dyDescent="0.2">
      <c r="B56" s="347" t="s">
        <v>399</v>
      </c>
      <c r="C56" s="18" t="s">
        <v>22</v>
      </c>
      <c r="D56" s="79" t="s">
        <v>281</v>
      </c>
      <c r="E56" s="112" t="s">
        <v>415</v>
      </c>
      <c r="F56" s="78"/>
      <c r="G56" s="95">
        <v>46692</v>
      </c>
      <c r="H56" s="96">
        <v>46395</v>
      </c>
      <c r="I56" s="134"/>
      <c r="J56" s="162"/>
      <c r="K56" s="162"/>
      <c r="L56" s="162"/>
      <c r="M56" s="162"/>
      <c r="N56" s="162"/>
      <c r="O56" s="162"/>
      <c r="P56" s="162"/>
      <c r="Q56" s="162"/>
      <c r="R56" s="162"/>
      <c r="S56" s="162"/>
      <c r="T56" s="162"/>
      <c r="U56" s="178"/>
      <c r="V56" s="178"/>
      <c r="W56" s="178"/>
      <c r="X56" s="178"/>
      <c r="Y56" s="178"/>
      <c r="Z56" s="178"/>
      <c r="AA56" s="178"/>
      <c r="AB56" s="178"/>
      <c r="AC56" s="178"/>
      <c r="AD56" s="121"/>
      <c r="AE56" s="121"/>
      <c r="AF56" s="121"/>
      <c r="AG56" s="121"/>
      <c r="AH56" s="121"/>
      <c r="AI56" s="121"/>
      <c r="AJ56" s="121"/>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4"/>
    </row>
    <row r="57" spans="2:68" outlineLevel="2" x14ac:dyDescent="0.2">
      <c r="B57" s="348" t="s">
        <v>391</v>
      </c>
      <c r="C57" s="18" t="s">
        <v>22</v>
      </c>
      <c r="D57" s="79"/>
      <c r="E57" s="112" t="s">
        <v>85</v>
      </c>
      <c r="F57" s="78"/>
      <c r="G57" s="25">
        <v>46692</v>
      </c>
      <c r="H57" s="76">
        <v>46395</v>
      </c>
      <c r="I57" s="134"/>
      <c r="J57" s="162"/>
      <c r="K57" s="162"/>
      <c r="L57" s="162"/>
      <c r="M57" s="162"/>
      <c r="N57" s="162"/>
      <c r="O57" s="162"/>
      <c r="P57" s="162"/>
      <c r="Q57" s="162"/>
      <c r="R57" s="162"/>
      <c r="S57" s="162"/>
      <c r="T57" s="162"/>
      <c r="U57" s="179"/>
      <c r="V57" s="179"/>
      <c r="W57" s="179"/>
      <c r="X57" s="179"/>
      <c r="Y57" s="179"/>
      <c r="Z57" s="179"/>
      <c r="AA57" s="179"/>
      <c r="AB57" s="179"/>
      <c r="AC57" s="179"/>
      <c r="AD57" s="121"/>
      <c r="AE57" s="121"/>
      <c r="AF57" s="121"/>
      <c r="AG57" s="121"/>
      <c r="AH57" s="121"/>
      <c r="AI57" s="121"/>
      <c r="AJ57" s="121"/>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4"/>
    </row>
    <row r="58" spans="2:68" outlineLevel="2" x14ac:dyDescent="0.2">
      <c r="B58" s="348" t="s">
        <v>392</v>
      </c>
      <c r="C58" s="18" t="s">
        <v>22</v>
      </c>
      <c r="D58" s="79"/>
      <c r="E58" s="112" t="s">
        <v>416</v>
      </c>
      <c r="F58" s="78"/>
      <c r="G58" s="25">
        <v>46692</v>
      </c>
      <c r="H58" s="76">
        <v>46395</v>
      </c>
      <c r="I58" s="134"/>
      <c r="J58" s="162"/>
      <c r="K58" s="162"/>
      <c r="L58" s="162"/>
      <c r="M58" s="162"/>
      <c r="N58" s="162"/>
      <c r="O58" s="162"/>
      <c r="P58" s="162"/>
      <c r="Q58" s="162"/>
      <c r="R58" s="162"/>
      <c r="S58" s="162"/>
      <c r="T58" s="162"/>
      <c r="U58" s="179"/>
      <c r="V58" s="179"/>
      <c r="W58" s="179"/>
      <c r="X58" s="179"/>
      <c r="Y58" s="179"/>
      <c r="Z58" s="179"/>
      <c r="AA58" s="179"/>
      <c r="AB58" s="179"/>
      <c r="AC58" s="179"/>
      <c r="AD58" s="121"/>
      <c r="AE58" s="121"/>
      <c r="AF58" s="121"/>
      <c r="AG58" s="121"/>
      <c r="AH58" s="121"/>
      <c r="AI58" s="121"/>
      <c r="AJ58" s="121"/>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4"/>
    </row>
    <row r="59" spans="2:68" outlineLevel="2" x14ac:dyDescent="0.2">
      <c r="B59" s="348" t="s">
        <v>393</v>
      </c>
      <c r="C59" s="18" t="s">
        <v>22</v>
      </c>
      <c r="D59" s="79"/>
      <c r="E59" s="112" t="s">
        <v>301</v>
      </c>
      <c r="F59" s="78"/>
      <c r="G59" s="25">
        <v>46692</v>
      </c>
      <c r="H59" s="76">
        <v>46395</v>
      </c>
      <c r="I59" s="134"/>
      <c r="J59" s="162"/>
      <c r="K59" s="162"/>
      <c r="L59" s="162"/>
      <c r="M59" s="162"/>
      <c r="N59" s="162"/>
      <c r="O59" s="162"/>
      <c r="P59" s="162"/>
      <c r="Q59" s="162"/>
      <c r="R59" s="162"/>
      <c r="S59" s="162"/>
      <c r="T59" s="162"/>
      <c r="U59" s="179"/>
      <c r="V59" s="179"/>
      <c r="W59" s="179"/>
      <c r="X59" s="179"/>
      <c r="Y59" s="179"/>
      <c r="Z59" s="179"/>
      <c r="AA59" s="179"/>
      <c r="AB59" s="179"/>
      <c r="AC59" s="179"/>
      <c r="AD59" s="121"/>
      <c r="AE59" s="121"/>
      <c r="AF59" s="121"/>
      <c r="AG59" s="121"/>
      <c r="AH59" s="121"/>
      <c r="AI59" s="121"/>
      <c r="AJ59" s="121"/>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1"/>
      <c r="BP59" s="124"/>
    </row>
    <row r="60" spans="2:68" ht="26" outlineLevel="1" x14ac:dyDescent="0.2">
      <c r="B60" s="347" t="s">
        <v>400</v>
      </c>
      <c r="C60" s="18" t="s">
        <v>22</v>
      </c>
      <c r="D60" s="80" t="s">
        <v>292</v>
      </c>
      <c r="E60" s="112" t="s">
        <v>417</v>
      </c>
      <c r="F60" s="78"/>
      <c r="G60" s="95">
        <v>46380</v>
      </c>
      <c r="H60" s="96">
        <v>46402</v>
      </c>
      <c r="I60" s="134"/>
      <c r="J60" s="162"/>
      <c r="K60" s="162"/>
      <c r="L60" s="162"/>
      <c r="M60" s="162"/>
      <c r="N60" s="162"/>
      <c r="O60" s="162"/>
      <c r="P60" s="162"/>
      <c r="Q60" s="162"/>
      <c r="R60" s="162"/>
      <c r="S60" s="162"/>
      <c r="T60" s="162"/>
      <c r="U60" s="162"/>
      <c r="V60" s="162"/>
      <c r="W60" s="162"/>
      <c r="X60" s="162"/>
      <c r="Y60" s="162"/>
      <c r="Z60" s="162"/>
      <c r="AA60" s="162"/>
      <c r="AB60" s="178"/>
      <c r="AC60" s="178"/>
      <c r="AD60" s="181" t="s">
        <v>23</v>
      </c>
      <c r="AE60" s="121"/>
      <c r="AF60" s="121"/>
      <c r="AG60" s="121"/>
      <c r="AH60" s="121"/>
      <c r="AI60" s="121"/>
      <c r="AJ60" s="121"/>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1"/>
      <c r="BP60" s="124"/>
    </row>
    <row r="61" spans="2:68" ht="26" outlineLevel="2" x14ac:dyDescent="0.2">
      <c r="B61" s="348" t="s">
        <v>394</v>
      </c>
      <c r="C61" s="18" t="s">
        <v>22</v>
      </c>
      <c r="D61" s="77"/>
      <c r="E61" s="112" t="s">
        <v>418</v>
      </c>
      <c r="F61" s="78"/>
      <c r="G61" s="25">
        <v>46380</v>
      </c>
      <c r="H61" s="76">
        <v>46395</v>
      </c>
      <c r="I61" s="134"/>
      <c r="J61" s="162"/>
      <c r="K61" s="162"/>
      <c r="L61" s="162"/>
      <c r="M61" s="162"/>
      <c r="N61" s="162"/>
      <c r="O61" s="162"/>
      <c r="P61" s="162"/>
      <c r="Q61" s="162"/>
      <c r="R61" s="162"/>
      <c r="S61" s="162"/>
      <c r="T61" s="162"/>
      <c r="U61" s="162"/>
      <c r="V61" s="162"/>
      <c r="W61" s="162"/>
      <c r="X61" s="162"/>
      <c r="Y61" s="162"/>
      <c r="Z61" s="162"/>
      <c r="AA61" s="162"/>
      <c r="AB61" s="179"/>
      <c r="AC61" s="179"/>
      <c r="AE61" s="121"/>
      <c r="AF61" s="121"/>
      <c r="AG61" s="121"/>
      <c r="AH61" s="121"/>
      <c r="AI61" s="121"/>
      <c r="AJ61" s="121"/>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1"/>
      <c r="BP61" s="124"/>
    </row>
    <row r="62" spans="2:68" ht="26" outlineLevel="2" x14ac:dyDescent="0.2">
      <c r="B62" s="348" t="s">
        <v>395</v>
      </c>
      <c r="C62" s="180" t="s">
        <v>465</v>
      </c>
      <c r="D62" s="77"/>
      <c r="E62" s="112" t="s">
        <v>419</v>
      </c>
      <c r="F62" s="78"/>
      <c r="G62" s="25">
        <v>46388</v>
      </c>
      <c r="H62" s="97">
        <v>46402</v>
      </c>
      <c r="I62" s="134"/>
      <c r="J62" s="162"/>
      <c r="K62" s="162"/>
      <c r="L62" s="162"/>
      <c r="M62" s="162"/>
      <c r="N62" s="162"/>
      <c r="O62" s="162"/>
      <c r="P62" s="162"/>
      <c r="Q62" s="162"/>
      <c r="R62" s="162"/>
      <c r="S62" s="162"/>
      <c r="T62" s="162"/>
      <c r="U62" s="162"/>
      <c r="V62" s="162"/>
      <c r="W62" s="162"/>
      <c r="X62" s="162"/>
      <c r="Y62" s="162"/>
      <c r="Z62" s="162"/>
      <c r="AA62" s="162"/>
      <c r="AC62" s="179"/>
      <c r="AD62" s="179"/>
      <c r="AE62" s="121"/>
      <c r="AF62" s="121"/>
      <c r="AG62" s="121"/>
      <c r="AH62" s="121"/>
      <c r="AI62" s="121"/>
      <c r="AJ62" s="121"/>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1"/>
      <c r="BP62" s="124"/>
    </row>
    <row r="63" spans="2:68" ht="52" outlineLevel="2" x14ac:dyDescent="0.2">
      <c r="B63" s="212"/>
      <c r="C63" s="205"/>
      <c r="D63" s="206"/>
      <c r="E63" s="207"/>
      <c r="F63" s="212" t="s">
        <v>508</v>
      </c>
      <c r="G63" s="208"/>
      <c r="H63" s="209"/>
      <c r="AC63" s="210"/>
      <c r="AD63" s="210"/>
      <c r="BP63" s="211"/>
    </row>
    <row r="64" spans="2:68" x14ac:dyDescent="0.2">
      <c r="B64" s="349"/>
      <c r="C64" s="159"/>
      <c r="D64" s="159"/>
      <c r="E64" s="182"/>
      <c r="F64" s="159"/>
      <c r="G64" s="9"/>
      <c r="H64" s="9"/>
      <c r="I64" s="159"/>
      <c r="J64" s="159"/>
      <c r="K64" s="159"/>
      <c r="L64" s="159"/>
      <c r="M64" s="159"/>
      <c r="N64" s="159"/>
      <c r="O64" s="159"/>
      <c r="P64" s="159"/>
      <c r="Q64" s="159"/>
      <c r="R64" s="159"/>
      <c r="S64" s="159"/>
      <c r="T64" s="159"/>
      <c r="U64" s="159"/>
      <c r="V64" s="159"/>
      <c r="W64" s="159"/>
      <c r="X64" s="159"/>
      <c r="Y64" s="159"/>
      <c r="Z64" s="159"/>
      <c r="AA64" s="159"/>
      <c r="AB64" s="159"/>
      <c r="AC64" s="183"/>
      <c r="AD64" s="183"/>
      <c r="AE64" s="183"/>
      <c r="AF64" s="183"/>
      <c r="AG64" s="183"/>
      <c r="AH64" s="183"/>
      <c r="AI64" s="183"/>
      <c r="AJ64" s="183"/>
      <c r="AK64" s="183"/>
      <c r="AL64" s="183"/>
      <c r="AM64" s="183"/>
      <c r="AN64" s="183"/>
      <c r="AO64" s="183"/>
      <c r="AP64" s="183"/>
      <c r="AQ64" s="183"/>
      <c r="AR64" s="183"/>
      <c r="AS64" s="183"/>
      <c r="AT64" s="183"/>
      <c r="AU64" s="183"/>
      <c r="AV64" s="183"/>
      <c r="AW64" s="183"/>
      <c r="AX64" s="183"/>
      <c r="AY64" s="159"/>
      <c r="AZ64" s="159"/>
      <c r="BA64" s="159"/>
      <c r="BB64" s="159"/>
      <c r="BC64" s="159"/>
      <c r="BD64" s="159"/>
      <c r="BE64" s="159"/>
      <c r="BF64" s="159"/>
      <c r="BG64" s="159"/>
      <c r="BH64" s="159"/>
      <c r="BI64" s="159"/>
      <c r="BJ64" s="159"/>
      <c r="BK64" s="159"/>
      <c r="BL64" s="159"/>
      <c r="BM64" s="159"/>
      <c r="BN64" s="159"/>
      <c r="BO64" s="159"/>
      <c r="BP64" s="160"/>
    </row>
    <row r="65" spans="2:68" ht="28" x14ac:dyDescent="0.2">
      <c r="B65" s="350" t="s">
        <v>294</v>
      </c>
      <c r="C65" s="184"/>
      <c r="D65" s="185"/>
      <c r="E65" s="133"/>
      <c r="F65" s="134"/>
      <c r="G65" s="7"/>
      <c r="H65" s="8"/>
      <c r="I65" s="139"/>
      <c r="J65" s="139"/>
      <c r="K65" s="139"/>
      <c r="L65" s="139"/>
      <c r="M65" s="139"/>
      <c r="N65" s="139"/>
      <c r="O65" s="139"/>
      <c r="P65" s="139"/>
      <c r="Q65" s="139"/>
      <c r="R65" s="139"/>
      <c r="S65" s="139"/>
      <c r="T65" s="139"/>
      <c r="U65" s="121"/>
      <c r="V65" s="121"/>
      <c r="W65" s="121"/>
      <c r="X65" s="121"/>
      <c r="Y65" s="121"/>
      <c r="Z65" s="121"/>
      <c r="AA65" s="121"/>
      <c r="AB65" s="184"/>
      <c r="AC65" s="186"/>
      <c r="AD65" s="186"/>
      <c r="AE65" s="186"/>
      <c r="AF65" s="186"/>
      <c r="AG65" s="186"/>
      <c r="AH65" s="186"/>
      <c r="AI65" s="186"/>
      <c r="AJ65" s="186"/>
      <c r="AK65" s="186"/>
      <c r="AL65" s="186"/>
      <c r="AM65" s="186"/>
      <c r="AN65" s="186"/>
      <c r="AO65" s="186"/>
      <c r="AP65" s="186"/>
      <c r="AQ65" s="186"/>
      <c r="AR65" s="186"/>
      <c r="AS65" s="186"/>
      <c r="AT65" s="186"/>
      <c r="AU65" s="186"/>
      <c r="AV65" s="186"/>
      <c r="AW65" s="186"/>
      <c r="AX65" s="186"/>
      <c r="AY65" s="120"/>
      <c r="AZ65" s="121"/>
      <c r="BA65" s="121"/>
      <c r="BB65" s="121"/>
      <c r="BC65" s="121"/>
      <c r="BD65" s="121"/>
      <c r="BE65" s="121"/>
      <c r="BF65" s="121"/>
      <c r="BG65" s="121"/>
      <c r="BH65" s="121"/>
      <c r="BI65" s="121"/>
      <c r="BJ65" s="121"/>
      <c r="BK65" s="121"/>
      <c r="BL65" s="121"/>
      <c r="BM65" s="121"/>
      <c r="BN65" s="121"/>
      <c r="BO65" s="121"/>
      <c r="BP65" s="124"/>
    </row>
    <row r="66" spans="2:68" ht="26" outlineLevel="1" x14ac:dyDescent="0.2">
      <c r="B66" s="347" t="s">
        <v>438</v>
      </c>
      <c r="C66" s="18" t="s">
        <v>22</v>
      </c>
      <c r="D66" s="79" t="s">
        <v>311</v>
      </c>
      <c r="E66" s="112" t="s">
        <v>448</v>
      </c>
      <c r="F66" s="78"/>
      <c r="G66" s="16">
        <v>46388</v>
      </c>
      <c r="H66" s="17">
        <v>46409</v>
      </c>
      <c r="I66" s="187"/>
      <c r="J66" s="120"/>
      <c r="K66" s="121"/>
      <c r="L66" s="121"/>
      <c r="M66" s="121"/>
      <c r="N66" s="121"/>
      <c r="O66" s="121"/>
      <c r="P66" s="121"/>
      <c r="Q66" s="121"/>
      <c r="R66" s="121"/>
      <c r="S66" s="121"/>
      <c r="T66" s="121"/>
      <c r="U66" s="121"/>
      <c r="V66" s="121"/>
      <c r="W66" s="121"/>
      <c r="X66" s="121"/>
      <c r="Y66" s="121"/>
      <c r="Z66" s="121"/>
      <c r="AA66" s="121"/>
      <c r="AB66" s="121"/>
      <c r="AC66" s="188"/>
      <c r="AD66" s="188"/>
      <c r="AE66" s="188"/>
      <c r="AF66" s="162"/>
      <c r="AG66" s="162"/>
      <c r="AH66" s="162"/>
      <c r="AI66" s="162"/>
      <c r="AJ66" s="162"/>
      <c r="AK66" s="162"/>
      <c r="AL66" s="162"/>
      <c r="AM66" s="162"/>
      <c r="AN66" s="162"/>
      <c r="AO66" s="162"/>
      <c r="AP66" s="162"/>
      <c r="AQ66" s="162"/>
      <c r="AR66" s="162"/>
      <c r="AS66" s="162"/>
      <c r="AT66" s="162"/>
      <c r="AU66" s="162"/>
      <c r="AV66" s="162"/>
      <c r="AW66" s="162"/>
      <c r="AX66" s="162"/>
      <c r="AY66" s="121"/>
      <c r="AZ66" s="121"/>
      <c r="BA66" s="121"/>
      <c r="BB66" s="121"/>
      <c r="BC66" s="121"/>
      <c r="BD66" s="121"/>
      <c r="BE66" s="121"/>
      <c r="BF66" s="121"/>
      <c r="BG66" s="121"/>
      <c r="BH66" s="121"/>
      <c r="BI66" s="121"/>
      <c r="BJ66" s="121"/>
      <c r="BK66" s="121"/>
      <c r="BL66" s="121"/>
      <c r="BM66" s="121"/>
      <c r="BN66" s="121"/>
      <c r="BO66" s="121"/>
      <c r="BP66" s="124"/>
    </row>
    <row r="67" spans="2:68" outlineLevel="1" x14ac:dyDescent="0.2">
      <c r="B67" s="347" t="s">
        <v>439</v>
      </c>
      <c r="C67" s="18" t="s">
        <v>488</v>
      </c>
      <c r="D67" s="79" t="s">
        <v>95</v>
      </c>
      <c r="E67" s="112" t="s">
        <v>449</v>
      </c>
      <c r="F67" s="78"/>
      <c r="G67" s="16">
        <v>46405</v>
      </c>
      <c r="H67" s="17">
        <v>46437</v>
      </c>
      <c r="I67" s="187"/>
      <c r="J67" s="120"/>
      <c r="K67" s="121"/>
      <c r="L67" s="121"/>
      <c r="M67" s="121"/>
      <c r="N67" s="121"/>
      <c r="O67" s="121"/>
      <c r="Q67" s="121"/>
      <c r="R67" s="121"/>
      <c r="S67" s="121"/>
      <c r="T67" s="121"/>
      <c r="U67" s="121"/>
      <c r="V67" s="121"/>
      <c r="W67" s="121"/>
      <c r="X67" s="121"/>
      <c r="Y67" s="121"/>
      <c r="Z67" s="121"/>
      <c r="AA67" s="121"/>
      <c r="AB67" s="120"/>
      <c r="AC67" s="121"/>
      <c r="AD67" s="121"/>
      <c r="AE67" s="189"/>
      <c r="AF67" s="189"/>
      <c r="AG67" s="189"/>
      <c r="AH67" s="190" t="s">
        <v>466</v>
      </c>
      <c r="AI67" s="189"/>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1"/>
      <c r="BP67" s="124"/>
    </row>
    <row r="68" spans="2:68" ht="26" outlineLevel="1" x14ac:dyDescent="0.2">
      <c r="B68" s="347" t="s">
        <v>440</v>
      </c>
      <c r="C68" s="18" t="s">
        <v>488</v>
      </c>
      <c r="D68" s="79" t="s">
        <v>95</v>
      </c>
      <c r="E68" s="112" t="s">
        <v>450</v>
      </c>
      <c r="F68" s="78"/>
      <c r="G68" s="16">
        <v>46054</v>
      </c>
      <c r="H68" s="17">
        <v>46437</v>
      </c>
      <c r="I68" s="120"/>
      <c r="J68" s="121"/>
      <c r="K68" s="121"/>
      <c r="L68" s="121"/>
      <c r="M68" s="121"/>
      <c r="N68" s="121"/>
      <c r="O68" s="121"/>
      <c r="P68" s="121"/>
      <c r="Q68" s="121"/>
      <c r="R68" s="121"/>
      <c r="S68" s="121"/>
      <c r="T68" s="121"/>
      <c r="U68" s="121"/>
      <c r="V68" s="121"/>
      <c r="W68" s="121"/>
      <c r="X68" s="121"/>
      <c r="Y68" s="121"/>
      <c r="Z68" s="121"/>
      <c r="AA68" s="121"/>
      <c r="AB68" s="120"/>
      <c r="AC68" s="121"/>
      <c r="AD68" s="121"/>
      <c r="AE68" s="121"/>
      <c r="AF68" s="121"/>
      <c r="AG68" s="189"/>
      <c r="AH68" s="190" t="s">
        <v>466</v>
      </c>
      <c r="AI68" s="189"/>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4"/>
    </row>
    <row r="69" spans="2:68" ht="26" outlineLevel="1" x14ac:dyDescent="0.2">
      <c r="B69" s="347" t="s">
        <v>441</v>
      </c>
      <c r="C69" s="18" t="s">
        <v>498</v>
      </c>
      <c r="D69" s="79" t="s">
        <v>338</v>
      </c>
      <c r="E69" s="112" t="s">
        <v>451</v>
      </c>
      <c r="F69" s="78"/>
      <c r="G69" s="16">
        <v>46440</v>
      </c>
      <c r="H69" s="17">
        <v>46557</v>
      </c>
      <c r="I69" s="120"/>
      <c r="J69" s="121"/>
      <c r="K69" s="121"/>
      <c r="L69" s="121"/>
      <c r="M69" s="121"/>
      <c r="N69" s="121"/>
      <c r="O69" s="121"/>
      <c r="P69" s="121"/>
      <c r="Q69" s="121"/>
      <c r="R69" s="121"/>
      <c r="S69" s="121"/>
      <c r="T69" s="121"/>
      <c r="U69" s="121"/>
      <c r="V69" s="121"/>
      <c r="W69" s="121"/>
      <c r="X69" s="121"/>
      <c r="Y69" s="121"/>
      <c r="Z69" s="121"/>
      <c r="AA69" s="121"/>
      <c r="AB69" s="120"/>
      <c r="AC69" s="121"/>
      <c r="AD69" s="121"/>
      <c r="AE69" s="121"/>
      <c r="AF69" s="121"/>
      <c r="AG69" s="121"/>
      <c r="AH69" s="121"/>
      <c r="AI69" s="121"/>
      <c r="AJ69" s="191"/>
      <c r="AK69" s="191"/>
      <c r="AL69" s="191"/>
      <c r="AM69" s="191"/>
      <c r="AN69" s="191"/>
      <c r="AO69" s="191"/>
      <c r="AP69" s="191"/>
      <c r="AQ69" s="191"/>
      <c r="AR69" s="189"/>
      <c r="AS69" s="189"/>
      <c r="AT69" s="189"/>
      <c r="AU69" s="189"/>
      <c r="AV69" s="189"/>
      <c r="AW69" s="189"/>
      <c r="AX69" s="189"/>
      <c r="AY69" s="121"/>
      <c r="AZ69" s="121"/>
      <c r="BA69" s="121"/>
      <c r="BB69" s="121"/>
      <c r="BC69" s="121"/>
      <c r="BD69" s="121"/>
      <c r="BE69" s="121"/>
      <c r="BF69" s="121"/>
      <c r="BG69" s="121"/>
      <c r="BH69" s="121"/>
      <c r="BI69" s="121"/>
      <c r="BJ69" s="121"/>
      <c r="BK69" s="121"/>
      <c r="BL69" s="121"/>
      <c r="BM69" s="121"/>
      <c r="BN69" s="121"/>
      <c r="BO69" s="121"/>
      <c r="BP69" s="124"/>
    </row>
    <row r="70" spans="2:68" ht="26" outlineLevel="2" x14ac:dyDescent="0.2">
      <c r="B70" s="348" t="s">
        <v>442</v>
      </c>
      <c r="C70" s="18" t="s">
        <v>456</v>
      </c>
      <c r="D70" s="79"/>
      <c r="E70" s="112" t="s">
        <v>452</v>
      </c>
      <c r="F70" s="78"/>
      <c r="G70" s="1">
        <v>46440</v>
      </c>
      <c r="H70" s="2">
        <v>46500</v>
      </c>
      <c r="I70" s="120"/>
      <c r="J70" s="121"/>
      <c r="K70" s="121"/>
      <c r="L70" s="121"/>
      <c r="M70" s="121"/>
      <c r="N70" s="121"/>
      <c r="O70" s="121"/>
      <c r="P70" s="184"/>
      <c r="Q70" s="192"/>
      <c r="R70" s="192"/>
      <c r="S70" s="192"/>
      <c r="T70" s="192"/>
      <c r="U70" s="192"/>
      <c r="V70" s="192"/>
      <c r="W70" s="121"/>
      <c r="X70" s="121"/>
      <c r="Y70" s="121"/>
      <c r="Z70" s="121"/>
      <c r="AA70" s="121"/>
      <c r="AB70" s="120"/>
      <c r="AC70" s="121"/>
      <c r="AD70" s="121"/>
      <c r="AE70" s="121"/>
      <c r="AF70" s="121"/>
      <c r="AG70" s="121"/>
      <c r="AH70" s="121"/>
      <c r="AI70" s="184"/>
      <c r="AJ70" s="89"/>
      <c r="AK70" s="89"/>
      <c r="AL70" s="89"/>
      <c r="AM70" s="89"/>
      <c r="AN70" s="89"/>
      <c r="AO70" s="89"/>
      <c r="AP70" s="89"/>
      <c r="AQ70" s="89"/>
      <c r="AR70" s="120"/>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1"/>
      <c r="BP70" s="124"/>
    </row>
    <row r="71" spans="2:68" ht="26" outlineLevel="2" x14ac:dyDescent="0.2">
      <c r="B71" s="348" t="s">
        <v>443</v>
      </c>
      <c r="C71" s="18" t="s">
        <v>22</v>
      </c>
      <c r="D71" s="79"/>
      <c r="E71" s="112" t="s">
        <v>453</v>
      </c>
      <c r="F71" s="78"/>
      <c r="G71" s="1">
        <v>46468</v>
      </c>
      <c r="H71" s="2">
        <v>46522</v>
      </c>
      <c r="I71" s="120"/>
      <c r="J71" s="121"/>
      <c r="K71" s="121"/>
      <c r="L71" s="121"/>
      <c r="M71" s="121"/>
      <c r="N71" s="121"/>
      <c r="O71" s="121"/>
      <c r="P71" s="184"/>
      <c r="Q71" s="192"/>
      <c r="R71" s="192"/>
      <c r="S71" s="192"/>
      <c r="T71" s="192"/>
      <c r="U71" s="192"/>
      <c r="V71" s="192"/>
      <c r="W71" s="121"/>
      <c r="X71" s="121"/>
      <c r="Y71" s="121"/>
      <c r="Z71" s="121"/>
      <c r="AA71" s="121"/>
      <c r="AB71" s="121"/>
      <c r="AC71" s="121"/>
      <c r="AD71" s="121"/>
      <c r="AE71" s="121"/>
      <c r="AF71" s="121"/>
      <c r="AG71" s="121"/>
      <c r="AH71" s="121"/>
      <c r="AI71" s="121"/>
      <c r="AJ71" s="162"/>
      <c r="AK71" s="162"/>
      <c r="AL71" s="162"/>
      <c r="AM71" s="162"/>
      <c r="AN71" s="89"/>
      <c r="AO71" s="89"/>
      <c r="AP71" s="89"/>
      <c r="AQ71" s="89"/>
      <c r="AR71" s="89"/>
      <c r="AS71" s="89"/>
      <c r="AT71" s="89"/>
      <c r="AU71" s="121"/>
      <c r="AV71" s="121"/>
      <c r="AW71" s="121"/>
      <c r="AX71" s="121"/>
      <c r="AY71" s="121"/>
      <c r="AZ71" s="121"/>
      <c r="BA71" s="121"/>
      <c r="BB71" s="121"/>
      <c r="BC71" s="121"/>
      <c r="BD71" s="121"/>
      <c r="BE71" s="121"/>
      <c r="BF71" s="121"/>
      <c r="BG71" s="121"/>
      <c r="BH71" s="121"/>
      <c r="BI71" s="121"/>
      <c r="BJ71" s="121"/>
      <c r="BK71" s="121"/>
      <c r="BL71" s="121"/>
      <c r="BM71" s="121"/>
      <c r="BN71" s="121"/>
      <c r="BO71" s="121"/>
      <c r="BP71" s="124"/>
    </row>
    <row r="72" spans="2:68" outlineLevel="2" x14ac:dyDescent="0.2">
      <c r="B72" s="348" t="s">
        <v>444</v>
      </c>
      <c r="C72" s="18" t="s">
        <v>456</v>
      </c>
      <c r="D72" s="80"/>
      <c r="E72" s="112" t="s">
        <v>454</v>
      </c>
      <c r="F72" s="78"/>
      <c r="G72" s="1">
        <v>46496</v>
      </c>
      <c r="H72" s="2">
        <v>46538</v>
      </c>
      <c r="I72" s="120"/>
      <c r="J72" s="121"/>
      <c r="K72" s="121"/>
      <c r="L72" s="121"/>
      <c r="M72" s="121"/>
      <c r="N72" s="121"/>
      <c r="O72" s="121"/>
      <c r="P72" s="184"/>
      <c r="Q72" s="192"/>
      <c r="R72" s="192"/>
      <c r="S72" s="192"/>
      <c r="T72" s="192"/>
      <c r="U72" s="192"/>
      <c r="V72" s="192"/>
      <c r="W72" s="192"/>
      <c r="X72" s="192"/>
      <c r="Y72" s="120"/>
      <c r="Z72" s="121"/>
      <c r="AA72" s="121"/>
      <c r="AB72" s="121"/>
      <c r="AC72" s="121"/>
      <c r="AD72" s="121"/>
      <c r="AE72" s="121"/>
      <c r="AF72" s="121"/>
      <c r="AG72" s="121"/>
      <c r="AH72" s="121"/>
      <c r="AI72" s="121"/>
      <c r="AJ72" s="121"/>
      <c r="AK72" s="121"/>
      <c r="AL72" s="121"/>
      <c r="AM72" s="121"/>
      <c r="AN72" s="121"/>
      <c r="AO72" s="121"/>
      <c r="AP72" s="121"/>
      <c r="AQ72" s="89"/>
      <c r="AR72" s="89"/>
      <c r="AS72" s="89"/>
      <c r="AT72" s="89"/>
      <c r="AU72" s="89"/>
      <c r="AV72" s="89"/>
      <c r="AW72" s="121"/>
      <c r="AX72" s="121"/>
      <c r="AY72" s="121"/>
      <c r="AZ72" s="121"/>
      <c r="BA72" s="121"/>
      <c r="BB72" s="121"/>
      <c r="BC72" s="121"/>
      <c r="BD72" s="121"/>
      <c r="BE72" s="121"/>
      <c r="BF72" s="121"/>
      <c r="BG72" s="121"/>
      <c r="BH72" s="121"/>
      <c r="BI72" s="121"/>
      <c r="BJ72" s="121"/>
      <c r="BK72" s="121"/>
      <c r="BL72" s="121"/>
      <c r="BM72" s="121"/>
      <c r="BN72" s="121"/>
      <c r="BO72" s="121"/>
      <c r="BP72" s="124"/>
    </row>
    <row r="73" spans="2:68" ht="26" outlineLevel="2" x14ac:dyDescent="0.2">
      <c r="B73" s="348" t="s">
        <v>445</v>
      </c>
      <c r="C73" s="18" t="s">
        <v>456</v>
      </c>
      <c r="D73" s="80"/>
      <c r="E73" s="112" t="s">
        <v>455</v>
      </c>
      <c r="F73" s="78"/>
      <c r="G73" s="1">
        <v>46440</v>
      </c>
      <c r="H73" s="2">
        <v>46557</v>
      </c>
      <c r="I73" s="120"/>
      <c r="J73" s="121"/>
      <c r="K73" s="121"/>
      <c r="L73" s="121"/>
      <c r="M73" s="121"/>
      <c r="N73" s="121"/>
      <c r="O73" s="121"/>
      <c r="P73" s="184"/>
      <c r="Q73" s="192"/>
      <c r="R73" s="192"/>
      <c r="S73" s="192"/>
      <c r="T73" s="192"/>
      <c r="U73" s="192"/>
      <c r="V73" s="192"/>
      <c r="W73" s="192"/>
      <c r="X73" s="192"/>
      <c r="Y73" s="120"/>
      <c r="Z73" s="121"/>
      <c r="AA73" s="121"/>
      <c r="AB73" s="121"/>
      <c r="AC73" s="121"/>
      <c r="AD73" s="121"/>
      <c r="AE73" s="121"/>
      <c r="AF73" s="121"/>
      <c r="AG73" s="121"/>
      <c r="AH73" s="121"/>
      <c r="AI73" s="121"/>
      <c r="AJ73" s="89"/>
      <c r="AK73" s="89"/>
      <c r="AL73" s="89"/>
      <c r="AM73" s="89"/>
      <c r="AN73" s="89"/>
      <c r="AO73" s="89"/>
      <c r="AP73" s="89"/>
      <c r="AQ73" s="89"/>
      <c r="AR73" s="89"/>
      <c r="AS73" s="89"/>
      <c r="AT73" s="89"/>
      <c r="AU73" s="89"/>
      <c r="AV73" s="89"/>
      <c r="AW73" s="89"/>
      <c r="AX73" s="89"/>
      <c r="AY73" s="121"/>
      <c r="AZ73" s="121"/>
      <c r="BA73" s="121"/>
      <c r="BB73" s="121"/>
      <c r="BC73" s="121"/>
      <c r="BD73" s="121"/>
      <c r="BE73" s="121"/>
      <c r="BF73" s="121"/>
      <c r="BG73" s="121"/>
      <c r="BH73" s="121"/>
      <c r="BI73" s="121"/>
      <c r="BJ73" s="121"/>
      <c r="BK73" s="121"/>
      <c r="BL73" s="121"/>
      <c r="BM73" s="121"/>
      <c r="BN73" s="121"/>
      <c r="BO73" s="121"/>
      <c r="BP73" s="124"/>
    </row>
    <row r="74" spans="2:68" x14ac:dyDescent="0.2">
      <c r="B74" s="349"/>
      <c r="C74" s="159"/>
      <c r="D74" s="159"/>
      <c r="E74" s="182"/>
      <c r="F74" s="159"/>
      <c r="G74" s="9"/>
      <c r="H74" s="9"/>
      <c r="I74" s="159"/>
      <c r="J74" s="159"/>
      <c r="K74" s="159"/>
      <c r="L74" s="159"/>
      <c r="M74" s="159"/>
      <c r="N74" s="159"/>
      <c r="O74" s="159"/>
      <c r="P74" s="159"/>
      <c r="Q74" s="159"/>
      <c r="R74" s="159"/>
      <c r="S74" s="159"/>
      <c r="T74" s="159"/>
      <c r="U74" s="159"/>
      <c r="V74" s="159"/>
      <c r="W74" s="159"/>
      <c r="X74" s="159"/>
      <c r="Y74" s="159"/>
      <c r="Z74" s="159"/>
      <c r="AA74" s="159"/>
      <c r="AB74" s="159"/>
      <c r="AC74" s="159"/>
      <c r="AD74" s="159"/>
      <c r="AE74" s="159"/>
      <c r="AF74" s="159"/>
      <c r="AG74" s="159"/>
      <c r="AH74" s="159"/>
      <c r="AI74" s="159"/>
      <c r="AJ74" s="159"/>
      <c r="AK74" s="159"/>
      <c r="AL74" s="159"/>
      <c r="AM74" s="159"/>
      <c r="AN74" s="159"/>
      <c r="AO74" s="159"/>
      <c r="AP74" s="159"/>
      <c r="AQ74" s="159"/>
      <c r="AR74" s="159"/>
      <c r="AS74" s="159"/>
      <c r="AT74" s="159"/>
      <c r="AU74" s="159"/>
      <c r="AV74" s="159"/>
      <c r="AW74" s="159"/>
      <c r="AX74" s="159"/>
      <c r="AY74" s="159"/>
      <c r="AZ74" s="159"/>
      <c r="BA74" s="159"/>
      <c r="BB74" s="159"/>
      <c r="BC74" s="159"/>
      <c r="BD74" s="159"/>
      <c r="BE74" s="159"/>
      <c r="BF74" s="159"/>
      <c r="BG74" s="159"/>
      <c r="BH74" s="159"/>
      <c r="BI74" s="159"/>
      <c r="BJ74" s="159"/>
      <c r="BK74" s="159"/>
      <c r="BL74" s="159"/>
      <c r="BM74" s="159"/>
      <c r="BN74" s="159"/>
      <c r="BO74" s="159"/>
      <c r="BP74" s="160"/>
    </row>
    <row r="75" spans="2:68" ht="26" x14ac:dyDescent="0.2">
      <c r="B75" s="88" t="s">
        <v>462</v>
      </c>
      <c r="C75" s="193"/>
      <c r="D75" s="90"/>
      <c r="E75" s="113"/>
      <c r="F75" s="107"/>
      <c r="G75" s="10"/>
      <c r="H75" s="84"/>
      <c r="I75" s="194"/>
      <c r="J75" s="195"/>
      <c r="K75" s="195"/>
      <c r="L75" s="195"/>
      <c r="M75" s="195"/>
      <c r="N75" s="195"/>
      <c r="O75" s="195"/>
      <c r="P75" s="195"/>
      <c r="Q75" s="195"/>
      <c r="R75" s="195"/>
      <c r="S75" s="195"/>
      <c r="T75" s="195"/>
      <c r="U75" s="195"/>
      <c r="V75" s="195"/>
      <c r="W75" s="195"/>
      <c r="X75" s="195"/>
      <c r="Y75" s="194"/>
      <c r="Z75" s="139"/>
      <c r="AA75" s="139"/>
      <c r="AB75" s="139"/>
      <c r="AC75" s="139"/>
      <c r="AD75" s="139"/>
      <c r="AE75" s="139"/>
      <c r="AF75" s="139"/>
      <c r="AG75" s="139"/>
      <c r="AH75" s="139"/>
      <c r="AI75" s="139"/>
      <c r="AJ75" s="139"/>
      <c r="AK75" s="139"/>
      <c r="AL75" s="139"/>
      <c r="AM75" s="139"/>
      <c r="AN75" s="139"/>
      <c r="AO75" s="139"/>
      <c r="AP75" s="139"/>
      <c r="AQ75" s="139"/>
      <c r="AR75" s="139"/>
      <c r="AS75" s="139"/>
      <c r="AT75" s="196"/>
      <c r="AU75" s="196"/>
      <c r="AV75" s="196"/>
      <c r="AW75" s="196"/>
      <c r="AX75" s="196"/>
      <c r="AY75" s="196"/>
      <c r="AZ75" s="196"/>
      <c r="BA75" s="196"/>
      <c r="BB75" s="196"/>
      <c r="BC75" s="196"/>
      <c r="BD75" s="196"/>
      <c r="BE75" s="196"/>
      <c r="BF75" s="196"/>
      <c r="BG75" s="196"/>
      <c r="BH75" s="196"/>
      <c r="BI75" s="196"/>
      <c r="BJ75" s="196"/>
      <c r="BK75" s="196"/>
      <c r="BL75" s="196"/>
      <c r="BM75" s="196"/>
      <c r="BN75" s="139"/>
      <c r="BO75" s="139"/>
      <c r="BP75" s="140"/>
    </row>
    <row r="76" spans="2:68" ht="26" outlineLevel="1" x14ac:dyDescent="0.2">
      <c r="B76" s="351" t="s">
        <v>446</v>
      </c>
      <c r="C76" s="197" t="s">
        <v>22</v>
      </c>
      <c r="D76" s="79" t="s">
        <v>333</v>
      </c>
      <c r="E76" s="112" t="s">
        <v>459</v>
      </c>
      <c r="F76" s="78"/>
      <c r="G76" s="16">
        <v>46513</v>
      </c>
      <c r="H76" s="17">
        <v>46585</v>
      </c>
      <c r="I76" s="120"/>
      <c r="J76" s="121"/>
      <c r="K76" s="121"/>
      <c r="L76" s="121"/>
      <c r="M76" s="121"/>
      <c r="N76" s="121"/>
      <c r="O76" s="121"/>
      <c r="P76" s="184"/>
      <c r="Q76" s="192"/>
      <c r="R76" s="192"/>
      <c r="S76" s="192"/>
      <c r="T76" s="192"/>
      <c r="U76" s="192"/>
      <c r="V76" s="192"/>
      <c r="W76" s="192"/>
      <c r="X76" s="192"/>
      <c r="Y76" s="120"/>
      <c r="Z76" s="121"/>
      <c r="AA76" s="121"/>
      <c r="AB76" s="121"/>
      <c r="AC76" s="121"/>
      <c r="AD76" s="121"/>
      <c r="AE76" s="121"/>
      <c r="AF76" s="121"/>
      <c r="AG76" s="121"/>
      <c r="AH76" s="121"/>
      <c r="AI76" s="121"/>
      <c r="AJ76" s="121"/>
      <c r="AK76" s="121"/>
      <c r="AL76" s="121"/>
      <c r="AM76" s="121"/>
      <c r="AN76" s="121"/>
      <c r="AO76" s="121"/>
      <c r="AP76" s="121"/>
      <c r="AQ76" s="121"/>
      <c r="AR76" s="121"/>
      <c r="AS76" s="121"/>
      <c r="AT76" s="87"/>
      <c r="AU76" s="87"/>
      <c r="AV76" s="87"/>
      <c r="AW76" s="87"/>
      <c r="AX76" s="87"/>
      <c r="AY76" s="87"/>
      <c r="AZ76" s="87"/>
      <c r="BA76" s="87"/>
      <c r="BB76" s="87"/>
      <c r="BC76" s="121"/>
      <c r="BD76" s="121"/>
      <c r="BE76" s="121"/>
      <c r="BF76" s="121"/>
      <c r="BG76" s="121"/>
      <c r="BH76" s="121"/>
      <c r="BI76" s="121"/>
      <c r="BJ76" s="121"/>
      <c r="BK76" s="121"/>
      <c r="BL76" s="121"/>
      <c r="BM76" s="121"/>
      <c r="BN76" s="121"/>
      <c r="BO76" s="121"/>
      <c r="BP76" s="124"/>
    </row>
    <row r="77" spans="2:68" outlineLevel="1" x14ac:dyDescent="0.2">
      <c r="B77" s="86" t="s">
        <v>457</v>
      </c>
      <c r="C77" s="197" t="s">
        <v>458</v>
      </c>
      <c r="D77" s="79" t="s">
        <v>333</v>
      </c>
      <c r="E77" s="112" t="s">
        <v>461</v>
      </c>
      <c r="F77" s="78"/>
      <c r="G77" s="16">
        <v>46539</v>
      </c>
      <c r="H77" s="17">
        <v>46630</v>
      </c>
      <c r="I77" s="120"/>
      <c r="J77" s="121"/>
      <c r="K77" s="121"/>
      <c r="L77" s="121"/>
      <c r="M77" s="121"/>
      <c r="N77" s="121"/>
      <c r="O77" s="121"/>
      <c r="P77" s="184"/>
      <c r="Q77" s="192"/>
      <c r="R77" s="192"/>
      <c r="S77" s="192"/>
      <c r="T77" s="192"/>
      <c r="U77" s="192"/>
      <c r="V77" s="192"/>
      <c r="W77" s="192"/>
      <c r="X77" s="192"/>
      <c r="Y77" s="120"/>
      <c r="Z77" s="121"/>
      <c r="AA77" s="121"/>
      <c r="AB77" s="121"/>
      <c r="AC77" s="121"/>
      <c r="AD77" s="121"/>
      <c r="AE77" s="121"/>
      <c r="AF77" s="121"/>
      <c r="AG77" s="121"/>
      <c r="AH77" s="121"/>
      <c r="AI77" s="121"/>
      <c r="AJ77" s="121"/>
      <c r="AK77" s="121"/>
      <c r="AL77" s="121"/>
      <c r="AM77" s="121"/>
      <c r="AN77" s="121"/>
      <c r="AO77" s="121"/>
      <c r="AP77" s="121"/>
      <c r="AQ77" s="121"/>
      <c r="AR77" s="121"/>
      <c r="AS77" s="121"/>
      <c r="AT77" s="121"/>
      <c r="AU77" s="121"/>
      <c r="AV77" s="121"/>
      <c r="AW77" s="87"/>
      <c r="AX77" s="87"/>
      <c r="AY77" s="87"/>
      <c r="AZ77" s="87"/>
      <c r="BA77" s="87"/>
      <c r="BB77" s="87"/>
      <c r="BC77" s="87"/>
      <c r="BD77" s="87"/>
      <c r="BE77" s="87"/>
      <c r="BF77" s="87"/>
      <c r="BG77" s="87"/>
      <c r="BH77" s="87"/>
      <c r="BI77" s="121"/>
      <c r="BJ77" s="121"/>
      <c r="BK77" s="121"/>
      <c r="BL77" s="121"/>
      <c r="BM77" s="121"/>
      <c r="BN77" s="121"/>
      <c r="BO77" s="121"/>
      <c r="BP77" s="124"/>
    </row>
    <row r="78" spans="2:68" ht="26" outlineLevel="1" x14ac:dyDescent="0.2">
      <c r="B78" s="352" t="s">
        <v>447</v>
      </c>
      <c r="C78" s="198" t="s">
        <v>493</v>
      </c>
      <c r="D78" s="91" t="s">
        <v>339</v>
      </c>
      <c r="E78" s="114" t="s">
        <v>460</v>
      </c>
      <c r="F78" s="85"/>
      <c r="G78" s="98">
        <v>46622</v>
      </c>
      <c r="H78" s="99">
        <v>46669</v>
      </c>
      <c r="I78" s="199"/>
      <c r="J78" s="200"/>
      <c r="K78" s="200"/>
      <c r="L78" s="200"/>
      <c r="M78" s="200"/>
      <c r="N78" s="200"/>
      <c r="O78" s="200"/>
      <c r="P78" s="201"/>
      <c r="Q78" s="202"/>
      <c r="R78" s="202"/>
      <c r="S78" s="202"/>
      <c r="T78" s="202"/>
      <c r="U78" s="202"/>
      <c r="V78" s="202"/>
      <c r="W78" s="202"/>
      <c r="X78" s="202"/>
      <c r="Y78" s="199"/>
      <c r="Z78" s="200"/>
      <c r="AA78" s="200"/>
      <c r="AB78" s="200"/>
      <c r="AC78" s="200"/>
      <c r="AD78" s="200"/>
      <c r="AE78" s="200"/>
      <c r="AF78" s="200"/>
      <c r="AG78" s="200"/>
      <c r="AH78" s="200"/>
      <c r="AI78" s="200"/>
      <c r="AJ78" s="200"/>
      <c r="AK78" s="200"/>
      <c r="AL78" s="200"/>
      <c r="AM78" s="200"/>
      <c r="AN78" s="200"/>
      <c r="AO78" s="200"/>
      <c r="AP78" s="200"/>
      <c r="AQ78" s="200"/>
      <c r="AR78" s="200"/>
      <c r="AS78" s="200"/>
      <c r="AT78" s="200"/>
      <c r="AU78" s="200"/>
      <c r="AV78" s="200"/>
      <c r="AW78" s="200"/>
      <c r="AX78" s="200"/>
      <c r="AY78" s="200"/>
      <c r="AZ78" s="200"/>
      <c r="BA78" s="200"/>
      <c r="BB78" s="200"/>
      <c r="BC78" s="200"/>
      <c r="BD78" s="200"/>
      <c r="BE78" s="200"/>
      <c r="BF78" s="200"/>
      <c r="BG78" s="200"/>
      <c r="BH78" s="12"/>
      <c r="BI78" s="12"/>
      <c r="BJ78" s="12"/>
      <c r="BK78" s="12"/>
      <c r="BL78" s="12"/>
      <c r="BM78" s="12"/>
      <c r="BN78" s="200"/>
      <c r="BO78" s="200"/>
      <c r="BP78" s="203"/>
    </row>
  </sheetData>
  <autoFilter ref="B7:BP7" xr:uid="{00000000-0001-0000-0000-000000000000}"/>
  <mergeCells count="34">
    <mergeCell ref="G10:H10"/>
    <mergeCell ref="AW5:AZ5"/>
    <mergeCell ref="BA5:BD5"/>
    <mergeCell ref="BE5:BH5"/>
    <mergeCell ref="BM5:BP5"/>
    <mergeCell ref="BI5:BL5"/>
    <mergeCell ref="AC5:AF5"/>
    <mergeCell ref="AG5:AJ5"/>
    <mergeCell ref="AK5:AN5"/>
    <mergeCell ref="AO5:AR5"/>
    <mergeCell ref="AS5:AV5"/>
    <mergeCell ref="AC6:AF6"/>
    <mergeCell ref="AG6:AJ6"/>
    <mergeCell ref="AK6:AN6"/>
    <mergeCell ref="AO6:AR6"/>
    <mergeCell ref="AS6:AV6"/>
    <mergeCell ref="B1:Z1"/>
    <mergeCell ref="B2:Z2"/>
    <mergeCell ref="D6:H6"/>
    <mergeCell ref="I5:L5"/>
    <mergeCell ref="M5:P5"/>
    <mergeCell ref="Q5:T5"/>
    <mergeCell ref="U5:X5"/>
    <mergeCell ref="Y5:AB5"/>
    <mergeCell ref="I6:L6"/>
    <mergeCell ref="M6:P6"/>
    <mergeCell ref="Q6:T6"/>
    <mergeCell ref="U6:X6"/>
    <mergeCell ref="Y6:AB6"/>
    <mergeCell ref="AW6:AZ6"/>
    <mergeCell ref="BI6:BL6"/>
    <mergeCell ref="BA6:BD6"/>
    <mergeCell ref="BE6:BH6"/>
    <mergeCell ref="BM6:BP6"/>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5"/>
  <sheetViews>
    <sheetView showGridLines="0" tabSelected="1" topLeftCell="B2" zoomScale="90" zoomScaleNormal="90" workbookViewId="0">
      <selection activeCell="L46" sqref="L46"/>
    </sheetView>
  </sheetViews>
  <sheetFormatPr baseColWidth="10" defaultColWidth="8.83203125" defaultRowHeight="15" x14ac:dyDescent="0.2"/>
  <cols>
    <col min="1" max="1" width="6.5" bestFit="1" customWidth="1"/>
    <col min="2" max="2" width="15" customWidth="1"/>
    <col min="3" max="3" width="6" customWidth="1"/>
    <col min="4" max="4" width="69.6640625" customWidth="1"/>
    <col min="5" max="5" width="12" customWidth="1"/>
    <col min="6" max="6" width="15.83203125" customWidth="1"/>
    <col min="7" max="7" width="45.5" customWidth="1"/>
    <col min="8" max="8" width="21.1640625" customWidth="1"/>
    <col min="9" max="9" width="28.5" customWidth="1"/>
    <col min="10" max="10" width="26.6640625" customWidth="1"/>
    <col min="11" max="11" width="12.6640625" customWidth="1"/>
    <col min="12" max="12" width="17.83203125" customWidth="1"/>
  </cols>
  <sheetData>
    <row r="1" spans="1:12" x14ac:dyDescent="0.2">
      <c r="A1" s="252" t="s">
        <v>52</v>
      </c>
      <c r="B1" s="226"/>
      <c r="C1" s="226"/>
      <c r="D1" s="226"/>
      <c r="E1" s="226"/>
      <c r="F1" s="226"/>
      <c r="G1" s="226"/>
      <c r="H1" s="226"/>
      <c r="I1" s="226"/>
      <c r="J1" s="226"/>
      <c r="K1" s="226"/>
      <c r="L1" s="226"/>
    </row>
    <row r="3" spans="1:12" x14ac:dyDescent="0.2">
      <c r="F3" s="30"/>
      <c r="G3" s="30"/>
      <c r="H3" s="30"/>
      <c r="I3" s="30"/>
    </row>
    <row r="4" spans="1:12" ht="14.5" customHeight="1" x14ac:dyDescent="0.2">
      <c r="A4" s="259" t="s">
        <v>118</v>
      </c>
      <c r="B4" s="259" t="s">
        <v>53</v>
      </c>
      <c r="C4" s="259" t="s">
        <v>110</v>
      </c>
      <c r="D4" s="259" t="s">
        <v>54</v>
      </c>
      <c r="E4" s="259" t="s">
        <v>116</v>
      </c>
      <c r="F4" s="258" t="s">
        <v>115</v>
      </c>
      <c r="G4" s="258"/>
      <c r="H4" s="258"/>
      <c r="I4" s="258"/>
      <c r="J4" s="259" t="s">
        <v>45</v>
      </c>
      <c r="K4" s="259" t="s">
        <v>55</v>
      </c>
      <c r="L4" s="259" t="s">
        <v>56</v>
      </c>
    </row>
    <row r="5" spans="1:12" x14ac:dyDescent="0.2">
      <c r="A5" s="259"/>
      <c r="B5" s="259"/>
      <c r="C5" s="259"/>
      <c r="D5" s="259"/>
      <c r="E5" s="259"/>
      <c r="F5" s="29" t="s">
        <v>113</v>
      </c>
      <c r="G5" s="29" t="s">
        <v>117</v>
      </c>
      <c r="H5" s="28" t="s">
        <v>114</v>
      </c>
      <c r="I5" s="29" t="s">
        <v>117</v>
      </c>
      <c r="J5" s="259"/>
      <c r="K5" s="259"/>
      <c r="L5" s="259"/>
    </row>
    <row r="6" spans="1:12" x14ac:dyDescent="0.2">
      <c r="A6" s="253" t="s">
        <v>16</v>
      </c>
      <c r="B6" s="226"/>
      <c r="C6" s="226"/>
      <c r="D6" s="226"/>
      <c r="E6" s="226"/>
      <c r="F6" s="226"/>
      <c r="G6" s="226"/>
      <c r="H6" s="226"/>
      <c r="I6" s="226"/>
      <c r="J6" s="226"/>
      <c r="K6" s="226"/>
      <c r="L6" s="226"/>
    </row>
    <row r="7" spans="1:12" ht="42" x14ac:dyDescent="0.2">
      <c r="A7" s="254">
        <v>1</v>
      </c>
      <c r="B7" s="255" t="s">
        <v>57</v>
      </c>
      <c r="C7" s="27">
        <v>1.1000000000000001</v>
      </c>
      <c r="D7" s="32" t="s">
        <v>58</v>
      </c>
      <c r="E7" s="26"/>
      <c r="F7" s="227" t="s">
        <v>109</v>
      </c>
      <c r="G7" s="32" t="s">
        <v>122</v>
      </c>
      <c r="H7" s="33" t="s">
        <v>112</v>
      </c>
      <c r="I7" s="37" t="s">
        <v>119</v>
      </c>
      <c r="J7" s="32" t="s">
        <v>132</v>
      </c>
      <c r="K7" s="227" t="s">
        <v>138</v>
      </c>
      <c r="L7" s="34" t="s">
        <v>139</v>
      </c>
    </row>
    <row r="8" spans="1:12" ht="64.25" customHeight="1" x14ac:dyDescent="0.2">
      <c r="A8" s="224"/>
      <c r="B8" s="256"/>
      <c r="C8" s="27">
        <v>1.2</v>
      </c>
      <c r="D8" s="32" t="s">
        <v>135</v>
      </c>
      <c r="E8" s="27" t="s">
        <v>121</v>
      </c>
      <c r="F8" s="223"/>
      <c r="G8" s="32" t="s">
        <v>125</v>
      </c>
      <c r="H8" s="36" t="s">
        <v>123</v>
      </c>
      <c r="I8" s="37" t="s">
        <v>134</v>
      </c>
      <c r="J8" s="32" t="s">
        <v>124</v>
      </c>
      <c r="K8" s="223"/>
      <c r="L8" s="34" t="s">
        <v>170</v>
      </c>
    </row>
    <row r="9" spans="1:12" ht="40.75" customHeight="1" x14ac:dyDescent="0.2">
      <c r="A9" s="243"/>
      <c r="B9" s="257"/>
      <c r="C9" s="27">
        <v>1.3</v>
      </c>
      <c r="D9" s="32" t="s">
        <v>133</v>
      </c>
      <c r="E9" s="26"/>
      <c r="F9" s="223"/>
      <c r="G9" s="32" t="s">
        <v>129</v>
      </c>
      <c r="H9" s="33" t="s">
        <v>146</v>
      </c>
      <c r="I9" s="37" t="s">
        <v>127</v>
      </c>
      <c r="J9" s="32" t="s">
        <v>128</v>
      </c>
      <c r="K9" s="27" t="s">
        <v>142</v>
      </c>
      <c r="L9" s="35" t="s">
        <v>140</v>
      </c>
    </row>
    <row r="10" spans="1:12" ht="42" x14ac:dyDescent="0.2">
      <c r="A10" s="103">
        <v>2</v>
      </c>
      <c r="B10" s="101" t="s">
        <v>61</v>
      </c>
      <c r="C10" s="27">
        <v>2.1</v>
      </c>
      <c r="D10" s="32" t="s">
        <v>136</v>
      </c>
      <c r="E10" s="102" t="s">
        <v>120</v>
      </c>
      <c r="F10" s="223"/>
      <c r="G10" s="32" t="s">
        <v>126</v>
      </c>
      <c r="H10" s="33" t="s">
        <v>178</v>
      </c>
      <c r="I10" s="37" t="s">
        <v>145</v>
      </c>
      <c r="J10" s="32" t="s">
        <v>137</v>
      </c>
      <c r="K10" s="27" t="s">
        <v>468</v>
      </c>
      <c r="L10" s="26"/>
    </row>
    <row r="11" spans="1:12" x14ac:dyDescent="0.2">
      <c r="A11" s="225" t="s">
        <v>247</v>
      </c>
      <c r="B11" s="226"/>
      <c r="C11" s="226"/>
      <c r="D11" s="226"/>
      <c r="E11" s="226"/>
      <c r="F11" s="226"/>
      <c r="G11" s="226"/>
      <c r="H11" s="226"/>
      <c r="I11" s="226"/>
      <c r="J11" s="226"/>
      <c r="K11" s="226"/>
      <c r="L11" s="226"/>
    </row>
    <row r="12" spans="1:12" ht="27.75" customHeight="1" x14ac:dyDescent="0.2">
      <c r="A12" s="266">
        <v>3</v>
      </c>
      <c r="B12" s="281" t="s">
        <v>154</v>
      </c>
      <c r="C12" s="27" t="s">
        <v>63</v>
      </c>
      <c r="D12" s="32" t="s">
        <v>474</v>
      </c>
      <c r="E12" s="227" t="s">
        <v>147</v>
      </c>
      <c r="F12" s="227" t="s">
        <v>109</v>
      </c>
      <c r="G12" s="278" t="s">
        <v>165</v>
      </c>
      <c r="H12" s="233" t="s">
        <v>475</v>
      </c>
      <c r="I12" s="264" t="s">
        <v>164</v>
      </c>
      <c r="J12" s="278" t="s">
        <v>167</v>
      </c>
      <c r="K12" s="227" t="s">
        <v>141</v>
      </c>
      <c r="L12" s="289" t="s">
        <v>143</v>
      </c>
    </row>
    <row r="13" spans="1:12" ht="39.75" customHeight="1" x14ac:dyDescent="0.2">
      <c r="A13" s="267"/>
      <c r="B13" s="282"/>
      <c r="C13" s="27" t="s">
        <v>65</v>
      </c>
      <c r="D13" s="32" t="s">
        <v>469</v>
      </c>
      <c r="E13" s="223"/>
      <c r="F13" s="223"/>
      <c r="G13" s="279"/>
      <c r="H13" s="234"/>
      <c r="I13" s="269"/>
      <c r="J13" s="279"/>
      <c r="K13" s="223"/>
      <c r="L13" s="290"/>
    </row>
    <row r="14" spans="1:12" ht="42" customHeight="1" x14ac:dyDescent="0.2">
      <c r="A14" s="267"/>
      <c r="B14" s="282"/>
      <c r="C14" s="27" t="s">
        <v>470</v>
      </c>
      <c r="D14" s="32" t="s">
        <v>149</v>
      </c>
      <c r="E14" s="223"/>
      <c r="F14" s="223"/>
      <c r="G14" s="279"/>
      <c r="H14" s="234"/>
      <c r="I14" s="269"/>
      <c r="J14" s="279"/>
      <c r="K14" s="223"/>
      <c r="L14" s="290"/>
    </row>
    <row r="15" spans="1:12" ht="30" customHeight="1" x14ac:dyDescent="0.2">
      <c r="A15" s="267"/>
      <c r="B15" s="282"/>
      <c r="C15" s="27" t="s">
        <v>471</v>
      </c>
      <c r="D15" s="32" t="s">
        <v>162</v>
      </c>
      <c r="E15" s="223"/>
      <c r="F15" s="223"/>
      <c r="G15" s="279"/>
      <c r="H15" s="234"/>
      <c r="I15" s="269"/>
      <c r="J15" s="279"/>
      <c r="K15" s="223"/>
      <c r="L15" s="290"/>
    </row>
    <row r="16" spans="1:12" ht="22.25" customHeight="1" x14ac:dyDescent="0.2">
      <c r="A16" s="267"/>
      <c r="B16" s="282"/>
      <c r="C16" s="27" t="s">
        <v>472</v>
      </c>
      <c r="D16" s="32" t="s">
        <v>189</v>
      </c>
      <c r="E16" s="223"/>
      <c r="F16" s="223"/>
      <c r="G16" s="280"/>
      <c r="H16" s="234"/>
      <c r="I16" s="269"/>
      <c r="J16" s="280"/>
      <c r="K16" s="223"/>
      <c r="L16" s="290"/>
    </row>
    <row r="17" spans="1:12" ht="28" x14ac:dyDescent="0.2">
      <c r="A17" s="268"/>
      <c r="B17" s="283"/>
      <c r="C17" s="27" t="s">
        <v>473</v>
      </c>
      <c r="D17" s="32" t="s">
        <v>188</v>
      </c>
      <c r="E17" s="230"/>
      <c r="F17" s="230"/>
      <c r="G17" s="39" t="s">
        <v>155</v>
      </c>
      <c r="H17" s="263"/>
      <c r="I17" s="265"/>
      <c r="J17" s="39" t="s">
        <v>156</v>
      </c>
      <c r="K17" s="230"/>
      <c r="L17" s="291"/>
    </row>
    <row r="18" spans="1:12" ht="28" x14ac:dyDescent="0.2">
      <c r="A18" s="286">
        <v>4</v>
      </c>
      <c r="B18" s="260" t="s">
        <v>478</v>
      </c>
      <c r="C18" s="27">
        <v>4.0999999999999996</v>
      </c>
      <c r="D18" s="32" t="s">
        <v>187</v>
      </c>
      <c r="E18" s="227" t="s">
        <v>147</v>
      </c>
      <c r="F18" s="27" t="s">
        <v>179</v>
      </c>
      <c r="G18" s="26" t="s">
        <v>174</v>
      </c>
      <c r="H18" s="33" t="s">
        <v>175</v>
      </c>
      <c r="I18" s="37" t="s">
        <v>176</v>
      </c>
      <c r="J18" s="32" t="s">
        <v>180</v>
      </c>
      <c r="K18" s="222" t="s">
        <v>138</v>
      </c>
      <c r="L18" s="26"/>
    </row>
    <row r="19" spans="1:12" ht="111.75" customHeight="1" x14ac:dyDescent="0.2">
      <c r="A19" s="245"/>
      <c r="B19" s="244"/>
      <c r="C19" s="27">
        <v>4.2</v>
      </c>
      <c r="D19" s="50" t="s">
        <v>482</v>
      </c>
      <c r="E19" s="223"/>
      <c r="F19" s="227" t="s">
        <v>109</v>
      </c>
      <c r="G19" s="32" t="s">
        <v>182</v>
      </c>
      <c r="H19" s="233" t="s">
        <v>185</v>
      </c>
      <c r="I19" s="264" t="s">
        <v>186</v>
      </c>
      <c r="J19" s="32" t="s">
        <v>184</v>
      </c>
      <c r="K19" s="223"/>
      <c r="L19" s="26"/>
    </row>
    <row r="20" spans="1:12" ht="72.5" customHeight="1" x14ac:dyDescent="0.2">
      <c r="A20" s="287"/>
      <c r="B20" s="261"/>
      <c r="C20" s="27">
        <v>4.3</v>
      </c>
      <c r="D20" s="32" t="s">
        <v>181</v>
      </c>
      <c r="E20" s="223"/>
      <c r="F20" s="223"/>
      <c r="G20" s="38" t="s">
        <v>190</v>
      </c>
      <c r="H20" s="263"/>
      <c r="I20" s="265"/>
      <c r="J20" s="32" t="s">
        <v>183</v>
      </c>
      <c r="K20" s="224"/>
      <c r="L20" s="26"/>
    </row>
    <row r="21" spans="1:12" ht="95.5" customHeight="1" x14ac:dyDescent="0.2">
      <c r="A21" s="288"/>
      <c r="B21" s="262"/>
      <c r="C21" s="27">
        <v>4.4000000000000004</v>
      </c>
      <c r="D21" s="32" t="s">
        <v>476</v>
      </c>
      <c r="E21" s="230"/>
      <c r="F21" s="230"/>
      <c r="G21" s="38" t="s">
        <v>477</v>
      </c>
      <c r="H21" s="33" t="s">
        <v>179</v>
      </c>
      <c r="I21" s="37" t="s">
        <v>177</v>
      </c>
      <c r="J21" s="32" t="s">
        <v>481</v>
      </c>
      <c r="K21" s="243"/>
      <c r="L21" s="26"/>
    </row>
    <row r="22" spans="1:12" ht="42" customHeight="1" x14ac:dyDescent="0.2">
      <c r="A22" s="235">
        <v>5</v>
      </c>
      <c r="B22" s="228" t="s">
        <v>479</v>
      </c>
      <c r="C22" s="27">
        <v>5.0999999999999996</v>
      </c>
      <c r="D22" s="26" t="s">
        <v>192</v>
      </c>
      <c r="E22" s="227" t="s">
        <v>64</v>
      </c>
      <c r="F22" s="227" t="s">
        <v>109</v>
      </c>
      <c r="G22" s="227" t="s">
        <v>191</v>
      </c>
      <c r="H22" s="231" t="s">
        <v>123</v>
      </c>
      <c r="I22" s="233" t="s">
        <v>195</v>
      </c>
      <c r="J22" s="32" t="s">
        <v>193</v>
      </c>
      <c r="K22" s="227" t="s">
        <v>141</v>
      </c>
      <c r="L22" s="26"/>
    </row>
    <row r="23" spans="1:12" x14ac:dyDescent="0.2">
      <c r="A23" s="236"/>
      <c r="B23" s="229"/>
      <c r="C23" s="27">
        <v>5.2</v>
      </c>
      <c r="D23" s="32" t="s">
        <v>480</v>
      </c>
      <c r="E23" s="230"/>
      <c r="F23" s="223"/>
      <c r="G23" s="223"/>
      <c r="H23" s="232"/>
      <c r="I23" s="234"/>
      <c r="J23" s="32" t="s">
        <v>194</v>
      </c>
      <c r="K23" s="230"/>
      <c r="L23" s="26"/>
    </row>
    <row r="24" spans="1:12" ht="44" customHeight="1" x14ac:dyDescent="0.2">
      <c r="A24" s="235">
        <v>6</v>
      </c>
      <c r="B24" s="228" t="s">
        <v>240</v>
      </c>
      <c r="C24" s="27">
        <v>6.1</v>
      </c>
      <c r="D24" s="32" t="s">
        <v>197</v>
      </c>
      <c r="E24" s="227" t="s">
        <v>254</v>
      </c>
      <c r="F24" s="227" t="s">
        <v>109</v>
      </c>
      <c r="G24" s="32" t="s">
        <v>207</v>
      </c>
      <c r="H24" s="231" t="s">
        <v>123</v>
      </c>
      <c r="I24" s="276" t="s">
        <v>202</v>
      </c>
      <c r="J24" s="26" t="s">
        <v>201</v>
      </c>
      <c r="K24" s="301" t="s">
        <v>141</v>
      </c>
      <c r="L24" s="26"/>
    </row>
    <row r="25" spans="1:12" ht="42" x14ac:dyDescent="0.2">
      <c r="A25" s="245"/>
      <c r="B25" s="244"/>
      <c r="C25" s="27">
        <v>6.2</v>
      </c>
      <c r="D25" s="32" t="s">
        <v>198</v>
      </c>
      <c r="E25" s="223"/>
      <c r="F25" s="223"/>
      <c r="G25" s="26" t="s">
        <v>208</v>
      </c>
      <c r="H25" s="275"/>
      <c r="I25" s="263"/>
      <c r="J25" s="26" t="s">
        <v>200</v>
      </c>
      <c r="K25" s="302"/>
      <c r="L25" s="26"/>
    </row>
    <row r="26" spans="1:12" ht="98" x14ac:dyDescent="0.2">
      <c r="A26" s="245"/>
      <c r="B26" s="244"/>
      <c r="C26" s="27">
        <v>6.3</v>
      </c>
      <c r="D26" s="32" t="s">
        <v>212</v>
      </c>
      <c r="E26" s="223"/>
      <c r="F26" s="223"/>
      <c r="G26" s="49" t="s">
        <v>199</v>
      </c>
      <c r="H26" s="33" t="s">
        <v>249</v>
      </c>
      <c r="I26" s="37" t="s">
        <v>248</v>
      </c>
      <c r="J26" s="38" t="s">
        <v>203</v>
      </c>
      <c r="K26" s="302"/>
      <c r="L26" s="26"/>
    </row>
    <row r="27" spans="1:12" ht="112" x14ac:dyDescent="0.2">
      <c r="A27" s="245"/>
      <c r="B27" s="244"/>
      <c r="C27" s="27">
        <v>6.4</v>
      </c>
      <c r="D27" s="32" t="s">
        <v>213</v>
      </c>
      <c r="E27" s="223"/>
      <c r="F27" s="223"/>
      <c r="G27" s="49" t="s">
        <v>204</v>
      </c>
      <c r="H27" s="33" t="s">
        <v>250</v>
      </c>
      <c r="I27" s="37" t="s">
        <v>206</v>
      </c>
      <c r="J27" s="38" t="s">
        <v>205</v>
      </c>
      <c r="K27" s="302"/>
      <c r="L27" s="26"/>
    </row>
    <row r="28" spans="1:12" ht="84" x14ac:dyDescent="0.2">
      <c r="A28" s="245"/>
      <c r="B28" s="244"/>
      <c r="C28" s="27">
        <v>6.5</v>
      </c>
      <c r="D28" s="32" t="s">
        <v>214</v>
      </c>
      <c r="E28" s="223"/>
      <c r="F28" s="223"/>
      <c r="G28" s="49" t="s">
        <v>209</v>
      </c>
      <c r="H28" s="33" t="s">
        <v>250</v>
      </c>
      <c r="I28" s="37" t="s">
        <v>210</v>
      </c>
      <c r="J28" s="38" t="s">
        <v>211</v>
      </c>
      <c r="K28" s="302"/>
      <c r="L28" s="26"/>
    </row>
    <row r="29" spans="1:12" ht="56" x14ac:dyDescent="0.2">
      <c r="A29" s="236"/>
      <c r="B29" s="229"/>
      <c r="C29" s="27">
        <v>6.6</v>
      </c>
      <c r="D29" s="32" t="s">
        <v>241</v>
      </c>
      <c r="E29" s="230"/>
      <c r="F29" s="230"/>
      <c r="G29" s="38" t="s">
        <v>242</v>
      </c>
      <c r="H29" s="33" t="s">
        <v>250</v>
      </c>
      <c r="I29" s="37" t="s">
        <v>243</v>
      </c>
      <c r="J29" s="38"/>
      <c r="K29" s="303"/>
      <c r="L29" s="26"/>
    </row>
    <row r="30" spans="1:12" x14ac:dyDescent="0.2">
      <c r="A30" s="306" t="s">
        <v>255</v>
      </c>
      <c r="B30" s="307"/>
      <c r="C30" s="307"/>
      <c r="D30" s="307"/>
      <c r="E30" s="307"/>
      <c r="F30" s="307"/>
      <c r="G30" s="307"/>
      <c r="H30" s="307"/>
      <c r="I30" s="307"/>
      <c r="J30" s="307"/>
      <c r="K30" s="307"/>
      <c r="L30" s="307"/>
    </row>
    <row r="31" spans="1:12" ht="28" x14ac:dyDescent="0.2">
      <c r="A31" s="239">
        <v>8</v>
      </c>
      <c r="B31" s="237" t="s">
        <v>215</v>
      </c>
      <c r="C31" s="27">
        <v>8.1</v>
      </c>
      <c r="D31" s="26" t="s">
        <v>219</v>
      </c>
      <c r="E31" s="222" t="s">
        <v>64</v>
      </c>
      <c r="F31" s="223" t="s">
        <v>109</v>
      </c>
      <c r="G31" s="32" t="s">
        <v>233</v>
      </c>
      <c r="H31" s="233" t="s">
        <v>269</v>
      </c>
      <c r="I31" s="309" t="s">
        <v>268</v>
      </c>
      <c r="J31" s="26" t="s">
        <v>234</v>
      </c>
      <c r="K31" s="222" t="s">
        <v>239</v>
      </c>
      <c r="L31" s="26"/>
    </row>
    <row r="32" spans="1:12" ht="42" x14ac:dyDescent="0.2">
      <c r="A32" s="240"/>
      <c r="B32" s="238"/>
      <c r="C32" s="27">
        <v>8.1999999999999993</v>
      </c>
      <c r="D32" s="32" t="s">
        <v>216</v>
      </c>
      <c r="E32" s="224"/>
      <c r="F32" s="223"/>
      <c r="G32" s="32" t="s">
        <v>238</v>
      </c>
      <c r="H32" s="234"/>
      <c r="I32" s="269"/>
      <c r="J32" s="32" t="s">
        <v>235</v>
      </c>
      <c r="K32" s="224"/>
      <c r="L32" s="26"/>
    </row>
    <row r="33" spans="1:12" ht="28" x14ac:dyDescent="0.2">
      <c r="A33" s="240"/>
      <c r="B33" s="238"/>
      <c r="C33" s="27">
        <v>8.3000000000000007</v>
      </c>
      <c r="D33" s="32" t="s">
        <v>217</v>
      </c>
      <c r="E33" s="224"/>
      <c r="F33" s="230"/>
      <c r="G33" s="32" t="s">
        <v>237</v>
      </c>
      <c r="H33" s="263"/>
      <c r="I33" s="265"/>
      <c r="J33" s="32" t="s">
        <v>236</v>
      </c>
      <c r="K33" s="224"/>
      <c r="L33" s="26"/>
    </row>
    <row r="34" spans="1:12" ht="56" x14ac:dyDescent="0.2">
      <c r="A34" s="82">
        <v>9</v>
      </c>
      <c r="B34" s="83" t="s">
        <v>66</v>
      </c>
      <c r="C34" s="27">
        <v>9</v>
      </c>
      <c r="D34" s="32" t="s">
        <v>256</v>
      </c>
      <c r="E34" s="51" t="s">
        <v>64</v>
      </c>
      <c r="F34" s="43" t="s">
        <v>109</v>
      </c>
      <c r="G34" s="32" t="s">
        <v>257</v>
      </c>
      <c r="H34" s="47" t="s">
        <v>232</v>
      </c>
      <c r="I34" s="47" t="s">
        <v>270</v>
      </c>
      <c r="J34" s="32"/>
      <c r="K34" s="21"/>
      <c r="L34" s="26"/>
    </row>
    <row r="35" spans="1:12" ht="28" x14ac:dyDescent="0.2">
      <c r="A35" s="239">
        <v>10</v>
      </c>
      <c r="B35" s="237" t="s">
        <v>262</v>
      </c>
      <c r="C35" s="27">
        <v>13.1</v>
      </c>
      <c r="D35" s="32" t="s">
        <v>251</v>
      </c>
      <c r="E35" s="304" t="s">
        <v>68</v>
      </c>
      <c r="F35" s="308" t="s">
        <v>253</v>
      </c>
      <c r="G35" s="65" t="s">
        <v>252</v>
      </c>
      <c r="H35" s="310" t="s">
        <v>109</v>
      </c>
      <c r="I35" s="313" t="s">
        <v>266</v>
      </c>
      <c r="J35" s="54" t="s">
        <v>260</v>
      </c>
      <c r="K35" s="222" t="s">
        <v>138</v>
      </c>
      <c r="L35" s="26"/>
    </row>
    <row r="36" spans="1:12" ht="30" customHeight="1" x14ac:dyDescent="0.2">
      <c r="A36" s="240"/>
      <c r="B36" s="238"/>
      <c r="C36" s="27">
        <v>13.2</v>
      </c>
      <c r="D36" s="32" t="s">
        <v>261</v>
      </c>
      <c r="E36" s="305"/>
      <c r="F36" s="308"/>
      <c r="G36" s="316" t="s">
        <v>271</v>
      </c>
      <c r="H36" s="311"/>
      <c r="I36" s="314"/>
      <c r="J36" s="55" t="s">
        <v>69</v>
      </c>
      <c r="K36" s="224"/>
      <c r="L36" s="26"/>
    </row>
    <row r="37" spans="1:12" ht="42" x14ac:dyDescent="0.2">
      <c r="A37" s="240"/>
      <c r="B37" s="238"/>
      <c r="C37" s="27">
        <v>13.3</v>
      </c>
      <c r="D37" s="32" t="s">
        <v>265</v>
      </c>
      <c r="E37" s="305"/>
      <c r="F37" s="308"/>
      <c r="G37" s="317"/>
      <c r="H37" s="312"/>
      <c r="I37" s="315"/>
      <c r="J37" s="57" t="s">
        <v>293</v>
      </c>
      <c r="K37" s="300"/>
      <c r="L37" s="26"/>
    </row>
    <row r="38" spans="1:12" ht="42" x14ac:dyDescent="0.2">
      <c r="A38" s="240"/>
      <c r="B38" s="238"/>
      <c r="C38" s="27">
        <v>13.3</v>
      </c>
      <c r="D38" s="32" t="s">
        <v>218</v>
      </c>
      <c r="E38" s="305"/>
      <c r="F38" s="308"/>
      <c r="G38" s="66" t="s">
        <v>258</v>
      </c>
      <c r="H38" s="47" t="s">
        <v>259</v>
      </c>
      <c r="I38" s="48" t="s">
        <v>177</v>
      </c>
      <c r="J38" s="56" t="s">
        <v>267</v>
      </c>
      <c r="K38" s="224"/>
      <c r="L38" s="26"/>
    </row>
    <row r="39" spans="1:12" ht="56" x14ac:dyDescent="0.2">
      <c r="A39" s="239">
        <v>11</v>
      </c>
      <c r="B39" s="237" t="s">
        <v>263</v>
      </c>
      <c r="C39" s="27">
        <v>13.1</v>
      </c>
      <c r="D39" s="32" t="s">
        <v>71</v>
      </c>
      <c r="E39" s="222" t="s">
        <v>264</v>
      </c>
      <c r="F39" s="39" t="s">
        <v>72</v>
      </c>
      <c r="G39" s="61" t="s">
        <v>282</v>
      </c>
      <c r="H39" s="295" t="s">
        <v>284</v>
      </c>
      <c r="I39" s="296" t="s">
        <v>285</v>
      </c>
      <c r="J39" s="54" t="s">
        <v>291</v>
      </c>
      <c r="K39" s="222" t="s">
        <v>141</v>
      </c>
      <c r="L39" s="32" t="s">
        <v>73</v>
      </c>
    </row>
    <row r="40" spans="1:12" ht="42" x14ac:dyDescent="0.2">
      <c r="A40" s="240"/>
      <c r="B40" s="238"/>
      <c r="C40" s="27">
        <v>13.2</v>
      </c>
      <c r="D40" s="32" t="s">
        <v>74</v>
      </c>
      <c r="E40" s="224"/>
      <c r="F40" s="32" t="s">
        <v>75</v>
      </c>
      <c r="G40" s="297" t="s">
        <v>283</v>
      </c>
      <c r="H40" s="295"/>
      <c r="I40" s="296"/>
      <c r="J40" s="64" t="s">
        <v>76</v>
      </c>
      <c r="K40" s="224"/>
      <c r="L40" s="32"/>
    </row>
    <row r="41" spans="1:12" ht="56" x14ac:dyDescent="0.2">
      <c r="A41" s="240"/>
      <c r="B41" s="238"/>
      <c r="C41" s="27">
        <v>13.3</v>
      </c>
      <c r="D41" s="32" t="s">
        <v>77</v>
      </c>
      <c r="E41" s="224"/>
      <c r="F41" s="32" t="s">
        <v>75</v>
      </c>
      <c r="G41" s="298"/>
      <c r="H41" s="295"/>
      <c r="I41" s="296"/>
      <c r="J41" s="64" t="s">
        <v>287</v>
      </c>
      <c r="K41" s="224"/>
      <c r="L41" s="32" t="s">
        <v>78</v>
      </c>
    </row>
    <row r="42" spans="1:12" ht="47.5" customHeight="1" x14ac:dyDescent="0.2">
      <c r="A42" s="240"/>
      <c r="B42" s="238"/>
      <c r="C42" s="27">
        <v>13.4</v>
      </c>
      <c r="D42" s="32" t="s">
        <v>79</v>
      </c>
      <c r="E42" s="224"/>
      <c r="F42" s="32" t="s">
        <v>75</v>
      </c>
      <c r="G42" s="299"/>
      <c r="H42" s="295"/>
      <c r="I42" s="296"/>
      <c r="J42" s="64" t="s">
        <v>286</v>
      </c>
      <c r="K42" s="224"/>
      <c r="L42" s="26"/>
    </row>
    <row r="43" spans="1:12" ht="43.25" customHeight="1" x14ac:dyDescent="0.2">
      <c r="A43" s="241"/>
      <c r="B43" s="242"/>
      <c r="C43" s="27">
        <v>13.5</v>
      </c>
      <c r="D43" s="32" t="s">
        <v>81</v>
      </c>
      <c r="E43" s="243"/>
      <c r="F43" s="32" t="s">
        <v>109</v>
      </c>
      <c r="G43" s="49" t="s">
        <v>290</v>
      </c>
      <c r="H43" s="58" t="s">
        <v>288</v>
      </c>
      <c r="I43" s="59" t="s">
        <v>289</v>
      </c>
      <c r="J43" s="32" t="s">
        <v>82</v>
      </c>
      <c r="K43" s="243"/>
      <c r="L43" s="26"/>
    </row>
    <row r="44" spans="1:12" ht="98" x14ac:dyDescent="0.2">
      <c r="A44" s="239">
        <v>12</v>
      </c>
      <c r="B44" s="237" t="s">
        <v>273</v>
      </c>
      <c r="C44" s="27">
        <v>12.1</v>
      </c>
      <c r="D44" s="32" t="s">
        <v>296</v>
      </c>
      <c r="E44" s="222" t="s">
        <v>281</v>
      </c>
      <c r="F44" s="32" t="s">
        <v>59</v>
      </c>
      <c r="G44" s="32" t="s">
        <v>297</v>
      </c>
      <c r="H44" s="37" t="s">
        <v>295</v>
      </c>
      <c r="I44" s="52" t="s">
        <v>299</v>
      </c>
      <c r="J44" s="32" t="s">
        <v>85</v>
      </c>
      <c r="K44" s="222" t="s">
        <v>141</v>
      </c>
      <c r="L44" s="26"/>
    </row>
    <row r="45" spans="1:12" ht="126" x14ac:dyDescent="0.2">
      <c r="A45" s="240"/>
      <c r="B45" s="238"/>
      <c r="C45" s="27">
        <v>12.2</v>
      </c>
      <c r="D45" s="32" t="s">
        <v>86</v>
      </c>
      <c r="E45" s="224"/>
      <c r="F45" s="32" t="s">
        <v>59</v>
      </c>
      <c r="G45" s="32" t="s">
        <v>303</v>
      </c>
      <c r="H45" s="37" t="s">
        <v>300</v>
      </c>
      <c r="I45" s="52" t="s">
        <v>302</v>
      </c>
      <c r="J45" s="32" t="s">
        <v>87</v>
      </c>
      <c r="K45" s="224"/>
      <c r="L45" s="26"/>
    </row>
    <row r="46" spans="1:12" ht="28" x14ac:dyDescent="0.2">
      <c r="A46" s="241"/>
      <c r="B46" s="242"/>
      <c r="C46" s="27">
        <v>12.3</v>
      </c>
      <c r="D46" s="32" t="s">
        <v>298</v>
      </c>
      <c r="E46" s="243"/>
      <c r="F46" s="32" t="s">
        <v>59</v>
      </c>
      <c r="G46" s="32" t="s">
        <v>305</v>
      </c>
      <c r="H46" s="37" t="s">
        <v>62</v>
      </c>
      <c r="I46" s="52" t="s">
        <v>304</v>
      </c>
      <c r="J46" s="32" t="s">
        <v>301</v>
      </c>
      <c r="K46" s="243"/>
      <c r="L46" s="26"/>
    </row>
    <row r="47" spans="1:12" x14ac:dyDescent="0.2">
      <c r="A47" s="239">
        <v>13</v>
      </c>
      <c r="B47" s="237" t="s">
        <v>272</v>
      </c>
      <c r="C47" s="27">
        <v>13.1</v>
      </c>
      <c r="D47" s="32" t="s">
        <v>307</v>
      </c>
      <c r="E47" s="222" t="s">
        <v>292</v>
      </c>
      <c r="F47" s="227" t="s">
        <v>109</v>
      </c>
      <c r="G47" s="320" t="s">
        <v>274</v>
      </c>
      <c r="H47" s="264" t="s">
        <v>62</v>
      </c>
      <c r="I47" s="264" t="s">
        <v>306</v>
      </c>
      <c r="J47" s="32" t="s">
        <v>308</v>
      </c>
      <c r="K47" s="222" t="s">
        <v>138</v>
      </c>
      <c r="L47" s="26"/>
    </row>
    <row r="48" spans="1:12" ht="52.75" customHeight="1" x14ac:dyDescent="0.2">
      <c r="A48" s="240"/>
      <c r="B48" s="238"/>
      <c r="C48" s="27">
        <v>13.2</v>
      </c>
      <c r="D48" s="32" t="s">
        <v>88</v>
      </c>
      <c r="E48" s="224"/>
      <c r="F48" s="223"/>
      <c r="G48" s="321"/>
      <c r="H48" s="265"/>
      <c r="I48" s="265"/>
      <c r="J48" s="32" t="s">
        <v>89</v>
      </c>
      <c r="K48" s="224"/>
      <c r="L48" s="26"/>
    </row>
    <row r="49" spans="1:12" ht="28" x14ac:dyDescent="0.2">
      <c r="A49" s="240"/>
      <c r="B49" s="238"/>
      <c r="C49" s="27">
        <v>13.3</v>
      </c>
      <c r="D49" s="32" t="s">
        <v>275</v>
      </c>
      <c r="E49" s="224"/>
      <c r="F49" s="230"/>
      <c r="G49" s="32" t="s">
        <v>280</v>
      </c>
      <c r="H49" s="37" t="s">
        <v>60</v>
      </c>
      <c r="I49" s="52"/>
      <c r="J49" s="32" t="s">
        <v>90</v>
      </c>
      <c r="K49" s="224"/>
      <c r="L49" s="26"/>
    </row>
    <row r="50" spans="1:12" ht="56" x14ac:dyDescent="0.2">
      <c r="A50" s="241"/>
      <c r="B50" s="242"/>
      <c r="C50" s="27">
        <v>13.4</v>
      </c>
      <c r="D50" s="32" t="s">
        <v>91</v>
      </c>
      <c r="E50" s="243"/>
      <c r="F50" s="27" t="s">
        <v>92</v>
      </c>
      <c r="G50" s="38" t="s">
        <v>279</v>
      </c>
      <c r="H50" s="37" t="s">
        <v>277</v>
      </c>
      <c r="I50" s="52" t="s">
        <v>278</v>
      </c>
      <c r="J50" s="32" t="s">
        <v>276</v>
      </c>
      <c r="K50" s="243"/>
      <c r="L50" s="26"/>
    </row>
    <row r="51" spans="1:12" ht="22.75" customHeight="1" x14ac:dyDescent="0.2">
      <c r="A51" s="273" t="s">
        <v>294</v>
      </c>
      <c r="B51" s="274"/>
      <c r="C51" s="274"/>
      <c r="D51" s="274"/>
      <c r="E51" s="274"/>
      <c r="F51" s="274"/>
      <c r="G51" s="274"/>
      <c r="H51" s="274"/>
      <c r="I51" s="274"/>
      <c r="J51" s="274"/>
      <c r="K51" s="274"/>
      <c r="L51" s="274"/>
    </row>
    <row r="52" spans="1:12" ht="39" customHeight="1" x14ac:dyDescent="0.2">
      <c r="A52" s="63">
        <v>14</v>
      </c>
      <c r="B52" s="67" t="s">
        <v>310</v>
      </c>
      <c r="C52" s="27">
        <v>14.1</v>
      </c>
      <c r="D52" s="46" t="s">
        <v>309</v>
      </c>
      <c r="E52" s="42" t="s">
        <v>311</v>
      </c>
      <c r="F52" s="42" t="s">
        <v>109</v>
      </c>
      <c r="G52" s="46" t="s">
        <v>312</v>
      </c>
      <c r="H52" s="44" t="s">
        <v>313</v>
      </c>
      <c r="I52" s="44" t="s">
        <v>314</v>
      </c>
      <c r="J52" s="32" t="s">
        <v>315</v>
      </c>
      <c r="K52" s="27" t="s">
        <v>138</v>
      </c>
      <c r="L52" s="26"/>
    </row>
    <row r="53" spans="1:12" ht="56" x14ac:dyDescent="0.2">
      <c r="A53" s="249">
        <v>15</v>
      </c>
      <c r="B53" s="246" t="s">
        <v>166</v>
      </c>
      <c r="C53" s="62">
        <v>15.1</v>
      </c>
      <c r="D53" s="71" t="s">
        <v>144</v>
      </c>
      <c r="E53" s="277" t="s">
        <v>95</v>
      </c>
      <c r="F53" s="277" t="s">
        <v>109</v>
      </c>
      <c r="G53" s="70" t="s">
        <v>316</v>
      </c>
      <c r="H53" s="293" t="s">
        <v>152</v>
      </c>
      <c r="I53" s="264" t="s">
        <v>163</v>
      </c>
      <c r="J53" s="32" t="s">
        <v>150</v>
      </c>
      <c r="K53" s="222" t="s">
        <v>138</v>
      </c>
      <c r="L53" s="26"/>
    </row>
    <row r="54" spans="1:12" ht="42" x14ac:dyDescent="0.2">
      <c r="A54" s="250"/>
      <c r="B54" s="247"/>
      <c r="C54" s="62">
        <v>15.2</v>
      </c>
      <c r="D54" s="71" t="s">
        <v>148</v>
      </c>
      <c r="E54" s="277"/>
      <c r="F54" s="277"/>
      <c r="G54" s="70" t="s">
        <v>161</v>
      </c>
      <c r="H54" s="294"/>
      <c r="I54" s="265"/>
      <c r="J54" s="32" t="s">
        <v>151</v>
      </c>
      <c r="K54" s="224"/>
      <c r="L54" s="26"/>
    </row>
    <row r="55" spans="1:12" ht="28" x14ac:dyDescent="0.2">
      <c r="A55" s="250"/>
      <c r="B55" s="247"/>
      <c r="C55" s="62">
        <v>15.3</v>
      </c>
      <c r="D55" s="71" t="s">
        <v>153</v>
      </c>
      <c r="E55" s="277"/>
      <c r="F55" s="277"/>
      <c r="G55" s="292" t="s">
        <v>157</v>
      </c>
      <c r="H55" s="293" t="s">
        <v>179</v>
      </c>
      <c r="I55" s="264" t="s">
        <v>160</v>
      </c>
      <c r="J55" s="26" t="s">
        <v>158</v>
      </c>
      <c r="K55" s="224"/>
      <c r="L55" s="26"/>
    </row>
    <row r="56" spans="1:12" ht="56" x14ac:dyDescent="0.2">
      <c r="A56" s="251"/>
      <c r="B56" s="248"/>
      <c r="C56" s="62">
        <v>15.4</v>
      </c>
      <c r="D56" s="71" t="s">
        <v>318</v>
      </c>
      <c r="E56" s="277"/>
      <c r="F56" s="277"/>
      <c r="G56" s="292"/>
      <c r="H56" s="294"/>
      <c r="I56" s="265"/>
      <c r="J56" s="32" t="s">
        <v>159</v>
      </c>
      <c r="K56" s="224"/>
      <c r="L56" s="26"/>
    </row>
    <row r="57" spans="1:12" ht="56" x14ac:dyDescent="0.2">
      <c r="A57" s="318">
        <v>16</v>
      </c>
      <c r="B57" s="246" t="s">
        <v>66</v>
      </c>
      <c r="C57" s="62">
        <v>16.100000000000001</v>
      </c>
      <c r="D57" s="71" t="s">
        <v>327</v>
      </c>
      <c r="E57" s="277" t="s">
        <v>95</v>
      </c>
      <c r="F57" s="277" t="s">
        <v>109</v>
      </c>
      <c r="G57" s="70" t="s">
        <v>329</v>
      </c>
      <c r="H57" s="323" t="s">
        <v>168</v>
      </c>
      <c r="I57" s="264" t="s">
        <v>169</v>
      </c>
      <c r="J57" s="32" t="s">
        <v>331</v>
      </c>
      <c r="K57" s="222" t="s">
        <v>138</v>
      </c>
      <c r="L57" s="26"/>
    </row>
    <row r="58" spans="1:12" ht="56" x14ac:dyDescent="0.2">
      <c r="A58" s="318"/>
      <c r="B58" s="247"/>
      <c r="C58" s="62">
        <v>16.2</v>
      </c>
      <c r="D58" s="71" t="s">
        <v>319</v>
      </c>
      <c r="E58" s="277"/>
      <c r="F58" s="277"/>
      <c r="G58" s="70" t="s">
        <v>328</v>
      </c>
      <c r="H58" s="324"/>
      <c r="I58" s="269"/>
      <c r="J58" s="32" t="s">
        <v>67</v>
      </c>
      <c r="K58" s="223"/>
      <c r="L58" s="26"/>
    </row>
    <row r="59" spans="1:12" ht="28" x14ac:dyDescent="0.2">
      <c r="A59" s="319"/>
      <c r="B59" s="248"/>
      <c r="C59" s="62">
        <v>16.3</v>
      </c>
      <c r="D59" s="71" t="s">
        <v>320</v>
      </c>
      <c r="E59" s="277"/>
      <c r="F59" s="277"/>
      <c r="G59" s="70" t="s">
        <v>330</v>
      </c>
      <c r="H59" s="325"/>
      <c r="I59" s="265"/>
      <c r="J59" s="32" t="s">
        <v>332</v>
      </c>
      <c r="K59" s="224"/>
      <c r="L59" s="26"/>
    </row>
    <row r="60" spans="1:12" ht="54" customHeight="1" x14ac:dyDescent="0.2">
      <c r="A60" s="326">
        <v>17</v>
      </c>
      <c r="B60" s="246" t="s">
        <v>321</v>
      </c>
      <c r="C60" s="62">
        <v>17.100000000000001</v>
      </c>
      <c r="D60" s="71" t="s">
        <v>326</v>
      </c>
      <c r="E60" s="284" t="s">
        <v>338</v>
      </c>
      <c r="F60" s="69" t="s">
        <v>340</v>
      </c>
      <c r="G60" s="70" t="s">
        <v>341</v>
      </c>
      <c r="H60" s="100" t="s">
        <v>175</v>
      </c>
      <c r="I60" s="45" t="s">
        <v>336</v>
      </c>
      <c r="J60" s="53" t="s">
        <v>337</v>
      </c>
      <c r="K60" s="277" t="s">
        <v>239</v>
      </c>
      <c r="L60" s="54"/>
    </row>
    <row r="61" spans="1:12" ht="70" x14ac:dyDescent="0.2">
      <c r="A61" s="318"/>
      <c r="B61" s="247"/>
      <c r="C61" s="27">
        <v>17.2</v>
      </c>
      <c r="D61" s="39" t="s">
        <v>83</v>
      </c>
      <c r="E61" s="285"/>
      <c r="F61" s="31" t="s">
        <v>175</v>
      </c>
      <c r="G61" s="68" t="s">
        <v>324</v>
      </c>
      <c r="H61" s="33" t="s">
        <v>84</v>
      </c>
      <c r="I61" s="37" t="s">
        <v>325</v>
      </c>
      <c r="J61" s="53" t="s">
        <v>323</v>
      </c>
      <c r="K61" s="277"/>
      <c r="L61" s="54"/>
    </row>
    <row r="62" spans="1:12" ht="70" x14ac:dyDescent="0.2">
      <c r="A62" s="318"/>
      <c r="B62" s="247"/>
      <c r="C62" s="62">
        <v>17.3</v>
      </c>
      <c r="D62" s="32" t="s">
        <v>322</v>
      </c>
      <c r="E62" s="285"/>
      <c r="F62" s="31" t="s">
        <v>175</v>
      </c>
      <c r="G62" s="38" t="s">
        <v>348</v>
      </c>
      <c r="H62" s="33"/>
      <c r="I62" s="52"/>
      <c r="J62" s="60" t="s">
        <v>352</v>
      </c>
      <c r="K62" s="277"/>
      <c r="L62" s="54"/>
    </row>
    <row r="63" spans="1:12" ht="98" x14ac:dyDescent="0.2">
      <c r="A63" s="318"/>
      <c r="B63" s="247"/>
      <c r="C63" s="27">
        <v>17.399999999999999</v>
      </c>
      <c r="D63" s="32" t="s">
        <v>349</v>
      </c>
      <c r="E63" s="285"/>
      <c r="F63" s="69" t="s">
        <v>340</v>
      </c>
      <c r="G63" s="38" t="s">
        <v>350</v>
      </c>
      <c r="H63" s="33" t="s">
        <v>175</v>
      </c>
      <c r="I63" s="72" t="s">
        <v>351</v>
      </c>
      <c r="J63" s="53" t="s">
        <v>353</v>
      </c>
      <c r="K63" s="277"/>
      <c r="L63" s="54"/>
    </row>
    <row r="64" spans="1:12" ht="70" x14ac:dyDescent="0.2">
      <c r="A64" s="318"/>
      <c r="B64" s="247"/>
      <c r="C64" s="62">
        <v>17.5</v>
      </c>
      <c r="D64" s="32" t="s">
        <v>355</v>
      </c>
      <c r="E64" s="285"/>
      <c r="F64" s="27" t="s">
        <v>340</v>
      </c>
      <c r="G64" s="38" t="s">
        <v>356</v>
      </c>
      <c r="H64" s="33" t="s">
        <v>175</v>
      </c>
      <c r="I64" s="72" t="s">
        <v>357</v>
      </c>
      <c r="J64" s="60"/>
      <c r="K64" s="277"/>
      <c r="L64" s="54"/>
    </row>
    <row r="65" spans="1:12" ht="56" x14ac:dyDescent="0.2">
      <c r="A65" s="318"/>
      <c r="B65" s="247"/>
      <c r="C65" s="62">
        <v>17.600000000000001</v>
      </c>
      <c r="D65" s="32" t="s">
        <v>354</v>
      </c>
      <c r="E65" s="285"/>
      <c r="F65" s="27" t="s">
        <v>340</v>
      </c>
      <c r="G65" s="38" t="s">
        <v>358</v>
      </c>
      <c r="H65" s="33" t="s">
        <v>175</v>
      </c>
      <c r="I65" s="72" t="s">
        <v>359</v>
      </c>
      <c r="J65" s="60"/>
      <c r="K65" s="277"/>
      <c r="L65" s="54"/>
    </row>
    <row r="66" spans="1:12" ht="20.5" customHeight="1" x14ac:dyDescent="0.2">
      <c r="A66" s="332" t="s">
        <v>317</v>
      </c>
      <c r="B66" s="333"/>
      <c r="C66" s="333"/>
      <c r="D66" s="333"/>
      <c r="E66" s="333"/>
      <c r="F66" s="333"/>
      <c r="G66" s="333"/>
      <c r="H66" s="333"/>
      <c r="I66" s="333"/>
      <c r="J66" s="333"/>
      <c r="K66" s="333"/>
      <c r="L66" s="333"/>
    </row>
    <row r="67" spans="1:12" ht="28" x14ac:dyDescent="0.2">
      <c r="A67" s="270">
        <v>18</v>
      </c>
      <c r="B67" s="270" t="s">
        <v>93</v>
      </c>
      <c r="C67" s="27">
        <v>18.100000000000001</v>
      </c>
      <c r="D67" s="32" t="s">
        <v>335</v>
      </c>
      <c r="E67" s="304" t="s">
        <v>333</v>
      </c>
      <c r="F67" s="69" t="s">
        <v>109</v>
      </c>
      <c r="G67" s="73" t="s">
        <v>361</v>
      </c>
      <c r="H67" s="33" t="s">
        <v>84</v>
      </c>
      <c r="I67" s="37" t="s">
        <v>360</v>
      </c>
      <c r="J67" s="32" t="s">
        <v>94</v>
      </c>
      <c r="K67" s="222" t="s">
        <v>239</v>
      </c>
      <c r="L67" s="26"/>
    </row>
    <row r="68" spans="1:12" ht="52.75" customHeight="1" x14ac:dyDescent="0.2">
      <c r="A68" s="271"/>
      <c r="B68" s="271"/>
      <c r="C68" s="27">
        <v>18.2</v>
      </c>
      <c r="D68" s="32" t="s">
        <v>96</v>
      </c>
      <c r="E68" s="305"/>
      <c r="F68" s="27" t="s">
        <v>340</v>
      </c>
      <c r="G68" s="278" t="s">
        <v>362</v>
      </c>
      <c r="H68" s="233" t="s">
        <v>364</v>
      </c>
      <c r="I68" s="327" t="s">
        <v>363</v>
      </c>
      <c r="J68" s="32" t="s">
        <v>97</v>
      </c>
      <c r="K68" s="224"/>
      <c r="L68" s="26"/>
    </row>
    <row r="69" spans="1:12" ht="30" customHeight="1" x14ac:dyDescent="0.2">
      <c r="A69" s="272"/>
      <c r="B69" s="272"/>
      <c r="C69" s="27">
        <v>18.3</v>
      </c>
      <c r="D69" s="32" t="s">
        <v>334</v>
      </c>
      <c r="E69" s="322"/>
      <c r="F69" s="27" t="s">
        <v>340</v>
      </c>
      <c r="G69" s="280"/>
      <c r="H69" s="263"/>
      <c r="I69" s="328"/>
      <c r="J69" s="32" t="s">
        <v>98</v>
      </c>
      <c r="K69" s="243"/>
      <c r="L69" s="26"/>
    </row>
    <row r="70" spans="1:12" ht="18.75" customHeight="1" x14ac:dyDescent="0.2">
      <c r="A70" s="270">
        <v>19</v>
      </c>
      <c r="B70" s="270" t="s">
        <v>99</v>
      </c>
      <c r="C70" s="27">
        <v>19.100000000000001</v>
      </c>
      <c r="D70" s="32" t="s">
        <v>342</v>
      </c>
      <c r="E70" s="222" t="s">
        <v>333</v>
      </c>
      <c r="F70" s="223" t="s">
        <v>109</v>
      </c>
      <c r="G70" s="329" t="s">
        <v>365</v>
      </c>
      <c r="H70" s="233" t="s">
        <v>70</v>
      </c>
      <c r="I70" s="264" t="s">
        <v>367</v>
      </c>
      <c r="J70" s="32" t="s">
        <v>100</v>
      </c>
      <c r="K70" s="222" t="s">
        <v>141</v>
      </c>
      <c r="L70" s="26"/>
    </row>
    <row r="71" spans="1:12" ht="42" x14ac:dyDescent="0.2">
      <c r="A71" s="271"/>
      <c r="B71" s="271"/>
      <c r="C71" s="27">
        <v>19.2</v>
      </c>
      <c r="D71" s="32" t="s">
        <v>343</v>
      </c>
      <c r="E71" s="224"/>
      <c r="F71" s="223"/>
      <c r="G71" s="330"/>
      <c r="H71" s="263"/>
      <c r="I71" s="265"/>
      <c r="J71" s="32" t="s">
        <v>101</v>
      </c>
      <c r="K71" s="224"/>
      <c r="L71" s="26" t="s">
        <v>102</v>
      </c>
    </row>
    <row r="72" spans="1:12" ht="28" x14ac:dyDescent="0.2">
      <c r="A72" s="272"/>
      <c r="B72" s="272"/>
      <c r="C72" s="27">
        <v>19.3</v>
      </c>
      <c r="D72" s="32" t="s">
        <v>344</v>
      </c>
      <c r="E72" s="243"/>
      <c r="F72" s="230"/>
      <c r="G72" s="331"/>
      <c r="H72" s="37" t="s">
        <v>103</v>
      </c>
      <c r="I72" s="52" t="s">
        <v>366</v>
      </c>
      <c r="J72" s="32" t="s">
        <v>104</v>
      </c>
      <c r="K72" s="243"/>
      <c r="L72" s="26"/>
    </row>
    <row r="73" spans="1:12" ht="42" x14ac:dyDescent="0.2">
      <c r="A73" s="270">
        <v>20</v>
      </c>
      <c r="B73" s="270" t="s">
        <v>105</v>
      </c>
      <c r="C73" s="27">
        <v>20.100000000000001</v>
      </c>
      <c r="D73" s="32" t="s">
        <v>345</v>
      </c>
      <c r="E73" s="222" t="s">
        <v>339</v>
      </c>
      <c r="F73" s="227" t="s">
        <v>109</v>
      </c>
      <c r="G73" s="49" t="s">
        <v>368</v>
      </c>
      <c r="H73" s="74" t="s">
        <v>168</v>
      </c>
      <c r="I73" s="37" t="s">
        <v>374</v>
      </c>
      <c r="J73" s="32" t="s">
        <v>106</v>
      </c>
      <c r="K73" s="222" t="s">
        <v>138</v>
      </c>
      <c r="L73" s="26"/>
    </row>
    <row r="74" spans="1:12" ht="28" x14ac:dyDescent="0.2">
      <c r="A74" s="271"/>
      <c r="B74" s="271"/>
      <c r="C74" s="27">
        <v>20.2</v>
      </c>
      <c r="D74" s="32" t="s">
        <v>346</v>
      </c>
      <c r="E74" s="224"/>
      <c r="F74" s="223"/>
      <c r="G74" s="26" t="s">
        <v>370</v>
      </c>
      <c r="H74" s="37" t="s">
        <v>62</v>
      </c>
      <c r="I74" s="52" t="s">
        <v>373</v>
      </c>
      <c r="J74" s="32" t="s">
        <v>107</v>
      </c>
      <c r="K74" s="224"/>
      <c r="L74" s="26"/>
    </row>
    <row r="75" spans="1:12" ht="28" x14ac:dyDescent="0.2">
      <c r="A75" s="272"/>
      <c r="B75" s="272"/>
      <c r="C75" s="27">
        <v>20.3</v>
      </c>
      <c r="D75" s="32" t="s">
        <v>347</v>
      </c>
      <c r="E75" s="243"/>
      <c r="F75" s="230"/>
      <c r="G75" s="38" t="s">
        <v>371</v>
      </c>
      <c r="H75" s="37" t="s">
        <v>369</v>
      </c>
      <c r="I75" s="37" t="s">
        <v>372</v>
      </c>
      <c r="J75" s="32" t="s">
        <v>108</v>
      </c>
      <c r="K75" s="243"/>
      <c r="L75" s="26"/>
    </row>
  </sheetData>
  <mergeCells count="126">
    <mergeCell ref="E73:E75"/>
    <mergeCell ref="E57:E59"/>
    <mergeCell ref="H57:H59"/>
    <mergeCell ref="I57:I59"/>
    <mergeCell ref="F57:F59"/>
    <mergeCell ref="B57:B59"/>
    <mergeCell ref="B73:B75"/>
    <mergeCell ref="A60:A65"/>
    <mergeCell ref="F70:F72"/>
    <mergeCell ref="F73:F75"/>
    <mergeCell ref="H68:H69"/>
    <mergeCell ref="I68:I69"/>
    <mergeCell ref="G68:G69"/>
    <mergeCell ref="G70:G72"/>
    <mergeCell ref="H70:H71"/>
    <mergeCell ref="I70:I71"/>
    <mergeCell ref="A66:L66"/>
    <mergeCell ref="B60:B65"/>
    <mergeCell ref="A73:A75"/>
    <mergeCell ref="K73:K75"/>
    <mergeCell ref="L12:L17"/>
    <mergeCell ref="G55:G56"/>
    <mergeCell ref="I55:I56"/>
    <mergeCell ref="H55:H56"/>
    <mergeCell ref="F12:F17"/>
    <mergeCell ref="H39:H42"/>
    <mergeCell ref="I39:I42"/>
    <mergeCell ref="F47:F49"/>
    <mergeCell ref="G40:G42"/>
    <mergeCell ref="K44:K46"/>
    <mergeCell ref="K35:K38"/>
    <mergeCell ref="K39:K43"/>
    <mergeCell ref="K24:K29"/>
    <mergeCell ref="A30:L30"/>
    <mergeCell ref="A31:A33"/>
    <mergeCell ref="B31:B33"/>
    <mergeCell ref="K31:K33"/>
    <mergeCell ref="F31:F33"/>
    <mergeCell ref="F35:F38"/>
    <mergeCell ref="H31:H33"/>
    <mergeCell ref="I31:I33"/>
    <mergeCell ref="H35:H37"/>
    <mergeCell ref="I35:I37"/>
    <mergeCell ref="G36:G37"/>
    <mergeCell ref="A44:A46"/>
    <mergeCell ref="F53:F56"/>
    <mergeCell ref="G12:G16"/>
    <mergeCell ref="J12:J16"/>
    <mergeCell ref="B12:B17"/>
    <mergeCell ref="K60:K65"/>
    <mergeCell ref="E60:E65"/>
    <mergeCell ref="A18:A21"/>
    <mergeCell ref="E24:E29"/>
    <mergeCell ref="F24:F29"/>
    <mergeCell ref="E18:E21"/>
    <mergeCell ref="E31:E33"/>
    <mergeCell ref="E35:E38"/>
    <mergeCell ref="E39:E43"/>
    <mergeCell ref="A57:A59"/>
    <mergeCell ref="G47:G48"/>
    <mergeCell ref="H47:H48"/>
    <mergeCell ref="I47:I48"/>
    <mergeCell ref="I53:I54"/>
    <mergeCell ref="E53:E56"/>
    <mergeCell ref="H53:H54"/>
    <mergeCell ref="E47:E50"/>
    <mergeCell ref="A67:A69"/>
    <mergeCell ref="B67:B69"/>
    <mergeCell ref="K67:K69"/>
    <mergeCell ref="A70:A72"/>
    <mergeCell ref="B70:B72"/>
    <mergeCell ref="K70:K72"/>
    <mergeCell ref="A47:A50"/>
    <mergeCell ref="B47:B50"/>
    <mergeCell ref="K47:K50"/>
    <mergeCell ref="A51:L51"/>
    <mergeCell ref="E67:E69"/>
    <mergeCell ref="E70:E72"/>
    <mergeCell ref="A1:L1"/>
    <mergeCell ref="A6:L6"/>
    <mergeCell ref="A7:A9"/>
    <mergeCell ref="B7:B9"/>
    <mergeCell ref="K7:K8"/>
    <mergeCell ref="F4:I4"/>
    <mergeCell ref="J4:J5"/>
    <mergeCell ref="K4:K5"/>
    <mergeCell ref="B18:B21"/>
    <mergeCell ref="K18:K21"/>
    <mergeCell ref="F19:F21"/>
    <mergeCell ref="H19:H20"/>
    <mergeCell ref="I19:I20"/>
    <mergeCell ref="L4:L5"/>
    <mergeCell ref="E4:E5"/>
    <mergeCell ref="K12:K17"/>
    <mergeCell ref="A12:A17"/>
    <mergeCell ref="E12:E17"/>
    <mergeCell ref="H12:H17"/>
    <mergeCell ref="I12:I17"/>
    <mergeCell ref="A4:A5"/>
    <mergeCell ref="B4:B5"/>
    <mergeCell ref="C4:C5"/>
    <mergeCell ref="D4:D5"/>
    <mergeCell ref="K57:K59"/>
    <mergeCell ref="K53:K56"/>
    <mergeCell ref="A11:L11"/>
    <mergeCell ref="F7:F10"/>
    <mergeCell ref="B22:B23"/>
    <mergeCell ref="E22:E23"/>
    <mergeCell ref="F22:F23"/>
    <mergeCell ref="G22:G23"/>
    <mergeCell ref="H22:H23"/>
    <mergeCell ref="I22:I23"/>
    <mergeCell ref="A22:A23"/>
    <mergeCell ref="K22:K23"/>
    <mergeCell ref="B35:B38"/>
    <mergeCell ref="A39:A43"/>
    <mergeCell ref="B39:B43"/>
    <mergeCell ref="E44:E46"/>
    <mergeCell ref="B24:B29"/>
    <mergeCell ref="A24:A29"/>
    <mergeCell ref="B53:B56"/>
    <mergeCell ref="A53:A56"/>
    <mergeCell ref="B44:B46"/>
    <mergeCell ref="A35:A38"/>
    <mergeCell ref="H24:H25"/>
    <mergeCell ref="I24:I25"/>
  </mergeCells>
  <pageMargins left="0.7" right="0.7" top="0.75" bottom="0.75" header="0.3" footer="0.3"/>
  <pageSetup orientation="portrait" r:id="rId1"/>
  <ignoredErrors>
    <ignoredError sqref="C12:C13" numberStoredAsText="1"/>
  </ignoredErrors>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Timeline chi tiết</vt:lpstr>
      <vt:lpstr>Kế hoạch chi tiết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phuongptn3</dc:creator>
  <cp:lastModifiedBy>Nhan Vu</cp:lastModifiedBy>
  <dcterms:created xsi:type="dcterms:W3CDTF">2026-08-18T04:32:35Z</dcterms:created>
  <dcterms:modified xsi:type="dcterms:W3CDTF">2026-08-22T03:48:42Z</dcterms:modified>
</cp:coreProperties>
</file>